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🗂️ INDEX &amp; NAVIGASI" sheetId="1" state="visible" r:id="rId1"/>
    <sheet xmlns:r="http://schemas.openxmlformats.org/officeDocument/2006/relationships" name="📊 EXECUTIVE SUMMARY" sheetId="2" state="visible" r:id="rId2"/>
    <sheet xmlns:r="http://schemas.openxmlformats.org/officeDocument/2006/relationships" name="💰 CASH FLOW 24 BLN" sheetId="3" state="visible" r:id="rId3"/>
    <sheet xmlns:r="http://schemas.openxmlformats.org/officeDocument/2006/relationships" name="📈 P&amp;L BULANAN" sheetId="4" state="visible" r:id="rId4"/>
    <sheet xmlns:r="http://schemas.openxmlformats.org/officeDocument/2006/relationships" name="🎯 TARGET MARKET &amp; BUYER" sheetId="5" state="visible" r:id="rId5"/>
    <sheet xmlns:r="http://schemas.openxmlformats.org/officeDocument/2006/relationships" name="⚠️ RISK REGISTER" sheetId="6" state="visible" r:id="rId6"/>
    <sheet xmlns:r="http://schemas.openxmlformats.org/officeDocument/2006/relationships" name="📅 GANTT CHART &amp; KPI" sheetId="7" state="visible" r:id="rId7"/>
    <sheet xmlns:r="http://schemas.openxmlformats.org/officeDocument/2006/relationships" name="📋 SCORECARD FOUNDER" sheetId="8" state="visible" r:id="rId8"/>
    <sheet xmlns:r="http://schemas.openxmlformats.org/officeDocument/2006/relationships" name="🎓 KURIKULUM &amp; ALUMNI" sheetId="9" state="visible" r:id="rId9"/>
    <sheet xmlns:r="http://schemas.openxmlformats.org/officeDocument/2006/relationships" name="🚀 RAB MULAI KECIL" sheetId="10" state="visible" r:id="rId10"/>
    <sheet xmlns:r="http://schemas.openxmlformats.org/officeDocument/2006/relationships" name="📅 TIMELINE 12 BLN" sheetId="11" state="visible" r:id="rId11"/>
    <sheet xmlns:r="http://schemas.openxmlformats.org/officeDocument/2006/relationships" name="🌿 VISI MISI &amp; FILOSOFI" sheetId="12" state="visible" r:id="rId12"/>
    <sheet xmlns:r="http://schemas.openxmlformats.org/officeDocument/2006/relationships" name="📊 MASTER — 2 JALUR MARKET" sheetId="13" state="visible" r:id="rId13"/>
    <sheet xmlns:r="http://schemas.openxmlformats.org/officeDocument/2006/relationships" name="⚖️ SISTEM BAGI HASIL" sheetId="14" state="visible" r:id="rId14"/>
    <sheet xmlns:r="http://schemas.openxmlformats.org/officeDocument/2006/relationships" name="🫚 JAHE MERAH" sheetId="15" state="visible" r:id="rId15"/>
    <sheet xmlns:r="http://schemas.openxmlformats.org/officeDocument/2006/relationships" name="🌿 JAHE BIASA" sheetId="16" state="visible" r:id="rId16"/>
    <sheet xmlns:r="http://schemas.openxmlformats.org/officeDocument/2006/relationships" name="🌼 KUNYIT" sheetId="17" state="visible" r:id="rId17"/>
    <sheet xmlns:r="http://schemas.openxmlformats.org/officeDocument/2006/relationships" name="🌶️ CABAI MERAH" sheetId="18" state="visible" r:id="rId18"/>
    <sheet xmlns:r="http://schemas.openxmlformats.org/officeDocument/2006/relationships" name="🌾 SEREH WANGI" sheetId="19" state="visible" r:id="rId19"/>
    <sheet xmlns:r="http://schemas.openxmlformats.org/officeDocument/2006/relationships" name="🌱 KAPULAGA" sheetId="20" state="visible" r:id="rId20"/>
    <sheet xmlns:r="http://schemas.openxmlformats.org/officeDocument/2006/relationships" name="🍅 TOMAT" sheetId="21" state="visible" r:id="rId21"/>
    <sheet xmlns:r="http://schemas.openxmlformats.org/officeDocument/2006/relationships" name="🥬 SAYUR RESTO &amp; HOTEL" sheetId="22" state="visible" r:id="rId22"/>
    <sheet xmlns:r="http://schemas.openxmlformats.org/officeDocument/2006/relationships" name="🐄 SAPI 10 EKOR" sheetId="23" state="visible" r:id="rId23"/>
    <sheet xmlns:r="http://schemas.openxmlformats.org/officeDocument/2006/relationships" name="🐷 BABI 10 EKOR" sheetId="24" state="visible" r:id="rId24"/>
    <sheet xmlns:r="http://schemas.openxmlformats.org/officeDocument/2006/relationships" name="👦 PROGRAM &amp; PERKEMBANGAN" sheetId="25" state="visible" r:id="rId25"/>
    <sheet xmlns:r="http://schemas.openxmlformats.org/officeDocument/2006/relationships" name="🤝 RELAWAN &amp; MENTOR" sheetId="26" state="visible" r:id="rId26"/>
    <sheet xmlns:r="http://schemas.openxmlformats.org/officeDocument/2006/relationships" name="⚡ LISTRIK AIR ENERGI" sheetId="27" state="visible" r:id="rId27"/>
    <sheet xmlns:r="http://schemas.openxmlformats.org/officeDocument/2006/relationships" name="🧠 PROGRAM PSIKOLOGI" sheetId="28" state="visible" r:id="rId28"/>
    <sheet xmlns:r="http://schemas.openxmlformats.org/officeDocument/2006/relationships" name="🌱 PERTANIAN ORGANIK SOP" sheetId="29" state="visible" r:id="rId29"/>
    <sheet xmlns:r="http://schemas.openxmlformats.org/officeDocument/2006/relationships" name="🌏 EKSPANSI INTERNASIONA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"/>
    <numFmt numFmtId="166" formatCode="DD/MM/YYYY"/>
  </numFmts>
  <fonts count="167">
    <font>
      <name val="Calibri"/>
      <family val="2"/>
      <color theme="1"/>
      <sz val="11"/>
      <scheme val="minor"/>
    </font>
    <font>
      <name val="Arial"/>
      <b val="1"/>
      <color rgb="00F9C74F"/>
      <sz val="14"/>
    </font>
    <font>
      <name val="Arial"/>
      <i val="1"/>
      <color rgb="00B7E4C7"/>
      <sz val="9"/>
    </font>
    <font>
      <name val="Arial"/>
      <b val="1"/>
      <color rgb="007B241C"/>
      <sz val="10"/>
    </font>
    <font>
      <name val="Arial"/>
      <b val="1"/>
      <color rgb="00F9C74F"/>
      <sz val="9"/>
    </font>
    <font>
      <name val="Arial"/>
      <b val="1"/>
      <color rgb="001C2833"/>
      <sz val="9"/>
    </font>
    <font>
      <name val="Arial"/>
      <b val="1"/>
      <color rgb="001A5E20"/>
      <sz val="9"/>
    </font>
    <font>
      <name val="Arial"/>
      <i val="1"/>
      <color rgb="001C2833"/>
      <sz val="9"/>
    </font>
    <font>
      <name val="Arial"/>
      <b val="1"/>
      <color rgb="00FFFFFF"/>
      <sz val="8"/>
    </font>
    <font>
      <name val="Arial"/>
      <b val="1"/>
      <color rgb="001A5E20"/>
      <sz val="8"/>
    </font>
    <font>
      <name val="Arial"/>
      <b val="1"/>
      <color rgb="001A5E20"/>
      <sz val="11"/>
    </font>
    <font>
      <name val="Arial"/>
      <b val="1"/>
      <color rgb="00FF0000"/>
      <sz val="9"/>
    </font>
    <font>
      <name val="Arial"/>
      <b val="1"/>
      <color rgb="00FF0000"/>
      <sz val="8"/>
    </font>
    <font>
      <name val="Arial"/>
      <b val="1"/>
      <color rgb="007B241C"/>
      <sz val="8"/>
    </font>
    <font>
      <name val="Arial"/>
      <b val="1"/>
      <color rgb="007B241C"/>
      <sz val="11"/>
    </font>
    <font>
      <name val="Arial"/>
      <b val="1"/>
      <color rgb="00784212"/>
      <sz val="8"/>
    </font>
    <font>
      <name val="Arial"/>
      <color rgb="001C2833"/>
      <sz val="9"/>
    </font>
    <font>
      <name val="Arial"/>
      <color rgb="001A5E20"/>
      <sz val="9"/>
    </font>
    <font>
      <name val="Arial"/>
      <b val="1"/>
      <color rgb="00F9C74F"/>
      <sz val="11"/>
    </font>
    <font>
      <name val="Arial"/>
      <b val="1"/>
      <color rgb="007B241C"/>
      <sz val="9"/>
    </font>
    <font>
      <name val="Arial"/>
      <b val="1"/>
      <color rgb="0017202A"/>
      <sz val="9"/>
    </font>
    <font>
      <name val="Arial"/>
      <i val="1"/>
      <color rgb="00FF0000"/>
      <sz val="9"/>
    </font>
    <font>
      <name val="Arial"/>
      <i val="1"/>
      <color rgb="00784212"/>
      <sz val="9"/>
    </font>
    <font>
      <name val="Arial"/>
      <b val="1"/>
      <color rgb="00F9C74F"/>
      <sz val="8"/>
    </font>
    <font>
      <name val="Arial"/>
      <color rgb="00FF0000"/>
      <sz val="9"/>
    </font>
    <font>
      <name val="Arial"/>
      <b val="1"/>
      <color rgb="00FFFFFF"/>
      <sz val="10"/>
    </font>
    <font>
      <name val="Arial"/>
      <color rgb="007B241C"/>
      <sz val="9"/>
    </font>
    <font>
      <name val="Arial"/>
      <b val="1"/>
      <color rgb="00FFFFFF"/>
      <sz val="11"/>
    </font>
    <font>
      <name val="Arial"/>
      <b val="1"/>
      <color rgb="00784212"/>
      <sz val="10"/>
    </font>
    <font>
      <name val="Arial"/>
      <i val="1"/>
      <color rgb="001A5276"/>
      <sz val="8"/>
    </font>
    <font>
      <name val="Arial"/>
      <b val="1"/>
      <color rgb="00F9C74F"/>
      <sz val="12"/>
    </font>
    <font>
      <name val="Arial"/>
      <color rgb="001A5276"/>
      <sz val="8"/>
    </font>
    <font>
      <name val="Arial"/>
      <i val="1"/>
      <color rgb="00FF0000"/>
      <sz val="8"/>
    </font>
    <font>
      <name val="Arial"/>
      <b val="1"/>
      <color rgb="00784212"/>
      <sz val="9"/>
    </font>
    <font>
      <name val="Arial"/>
      <b val="1"/>
      <color rgb="00FF0000"/>
      <sz val="11"/>
    </font>
    <font>
      <name val="Arial"/>
      <b val="1"/>
      <color rgb="007B241C"/>
      <sz val="12"/>
    </font>
    <font>
      <name val="Arial"/>
      <b val="1"/>
      <sz val="9"/>
    </font>
    <font>
      <name val="Arial"/>
      <color rgb="001A5E20"/>
      <sz val="8"/>
    </font>
    <font>
      <name val="Arial"/>
      <color rgb="00784212"/>
      <sz val="8"/>
    </font>
    <font>
      <name val="Arial"/>
      <b val="1"/>
      <color rgb="00784212"/>
      <sz val="12"/>
    </font>
    <font>
      <name val="Arial"/>
      <b val="1"/>
      <color rgb="001A5E20"/>
      <sz val="12"/>
    </font>
    <font>
      <name val="Arial"/>
      <i val="1"/>
      <color rgb="001A5E20"/>
      <sz val="9"/>
    </font>
    <font>
      <name val="Arial"/>
      <i val="1"/>
      <color rgb="007B241C"/>
      <sz val="9"/>
    </font>
    <font>
      <name val="Arial"/>
      <b val="1"/>
      <color rgb="001A5276"/>
      <sz val="9"/>
    </font>
    <font>
      <name val="Arial"/>
      <color rgb="001C2833"/>
      <sz val="10"/>
    </font>
    <font>
      <name val="Arial"/>
      <b val="1"/>
      <color rgb="004A235A"/>
      <sz val="9"/>
    </font>
    <font>
      <name val="Arial"/>
      <b val="1"/>
      <color rgb="000E6655"/>
      <sz val="9"/>
    </font>
    <font>
      <name val="Arial"/>
      <b val="1"/>
      <color rgb="00FFFFFF"/>
      <sz val="9"/>
    </font>
    <font>
      <name val="Arial"/>
      <color rgb="001C2833"/>
      <sz val="11"/>
    </font>
    <font>
      <name val="Arial"/>
      <color rgb="001C2833"/>
      <sz val="12"/>
    </font>
    <font>
      <name val="Arial"/>
      <color rgb="001C2833"/>
      <sz val="8"/>
    </font>
    <font>
      <name val="Arial"/>
      <b val="1"/>
      <i val="1"/>
      <color rgb="001A5E20"/>
      <sz val="9"/>
    </font>
    <font>
      <name val="Arial"/>
      <b val="1"/>
      <color rgb="00F9C74F"/>
      <sz val="16"/>
    </font>
    <font>
      <name val="Arial"/>
      <color rgb="000000CC"/>
      <sz val="9"/>
    </font>
    <font>
      <name val="Arial"/>
      <b val="1"/>
      <color rgb="001B4332"/>
      <sz val="10"/>
    </font>
    <font>
      <name val="Arial"/>
      <i val="1"/>
      <color rgb="00555555"/>
      <sz val="8"/>
    </font>
    <font>
      <name val="Arial"/>
      <b val="1"/>
      <color rgb="001A5276"/>
      <sz val="10"/>
    </font>
    <font>
      <name val="Arial"/>
      <b val="1"/>
      <color rgb="00F9C74F"/>
      <sz val="10"/>
    </font>
    <font>
      <name val="Arial"/>
      <i val="1"/>
      <color rgb="001A5276"/>
      <sz val="9"/>
    </font>
    <font>
      <name val="Arial"/>
      <b val="1"/>
      <color rgb="001A5E20"/>
      <sz val="10"/>
    </font>
    <font>
      <name val="Arial"/>
      <b val="1"/>
      <color rgb="00F9C74F"/>
      <sz val="13"/>
    </font>
    <font>
      <name val="Arial"/>
      <b val="1"/>
      <color rgb="00F9C74F"/>
      <sz val="15"/>
    </font>
    <font>
      <name val="Arial"/>
      <color rgb="00B7E4C7"/>
      <sz val="9"/>
    </font>
    <font>
      <name val="Arial"/>
      <b val="1"/>
      <color rgb="0017202A"/>
      <sz val="10"/>
    </font>
    <font>
      <name val="Arial"/>
      <b val="1"/>
      <color rgb="002D6A4F"/>
      <sz val="10"/>
    </font>
    <font>
      <name val="Arial"/>
      <i val="1"/>
      <color rgb="00555555"/>
      <sz val="9"/>
    </font>
    <font>
      <name val="Arial"/>
      <sz val="9"/>
    </font>
    <font>
      <name val="Arial"/>
      <b val="1"/>
      <color rgb="001B4332"/>
      <sz val="9"/>
    </font>
    <font>
      <name val="Arial"/>
      <color rgb="00AAAAAA"/>
      <sz val="8"/>
    </font>
    <font>
      <name val="Arial"/>
      <b val="1"/>
      <color rgb="001A5276"/>
      <sz val="8"/>
    </font>
    <font>
      <name val="Arial"/>
      <i val="1"/>
      <color rgb="00B7E4C7"/>
      <sz val="11"/>
    </font>
    <font>
      <name val="Arial"/>
      <b val="1"/>
      <color rgb="0017202A"/>
      <sz val="13"/>
    </font>
    <font>
      <name val="Arial"/>
      <i val="1"/>
      <color rgb="0017202A"/>
      <sz val="12"/>
    </font>
    <font>
      <name val="Arial"/>
      <b val="1"/>
      <color rgb="00FFFFFF"/>
      <sz val="13"/>
    </font>
    <font>
      <name val="Arial"/>
      <color rgb="0017202A"/>
      <sz val="11"/>
    </font>
    <font>
      <name val="Arial"/>
      <b val="1"/>
      <color rgb="00B7E4C7"/>
      <sz val="10"/>
    </font>
    <font>
      <name val="Arial"/>
      <color rgb="001A5276"/>
      <sz val="9"/>
    </font>
    <font>
      <name val="Arial"/>
      <b val="1"/>
      <color rgb="004A235A"/>
      <sz val="10"/>
    </font>
    <font>
      <name val="Arial"/>
      <b val="1"/>
      <color rgb="007D6608"/>
      <sz val="9"/>
    </font>
    <font>
      <name val="Arial"/>
      <b val="1"/>
      <color rgb="007D6608"/>
      <sz val="10"/>
    </font>
    <font>
      <name val="Arial"/>
      <b val="1"/>
      <color rgb="007D6608"/>
      <sz val="11"/>
    </font>
    <font>
      <name val="Arial"/>
      <color rgb="007D6608"/>
      <sz val="9"/>
    </font>
    <font>
      <name val="Arial"/>
      <color rgb="00784212"/>
      <sz val="10"/>
    </font>
    <font>
      <name val="Arial"/>
      <b val="1"/>
      <color rgb="00784212"/>
      <sz val="11"/>
    </font>
    <font>
      <name val="Arial"/>
      <color rgb="00784212"/>
      <sz val="9"/>
    </font>
    <font>
      <name val="Arial"/>
      <b val="1"/>
      <color rgb="001A5276"/>
      <sz val="11"/>
    </font>
    <font>
      <name val="Arial"/>
      <b val="1"/>
      <color rgb="004A235A"/>
      <sz val="11"/>
    </font>
    <font>
      <name val="Arial"/>
      <color rgb="004A235A"/>
      <sz val="9"/>
    </font>
    <font>
      <name val="Arial"/>
      <b val="1"/>
      <color rgb="000E6655"/>
      <sz val="10"/>
    </font>
    <font>
      <name val="Arial"/>
      <b val="1"/>
      <color rgb="000E6655"/>
      <sz val="11"/>
    </font>
    <font>
      <name val="Arial"/>
      <color rgb="000E6655"/>
      <sz val="9"/>
    </font>
    <font>
      <name val="Arial"/>
      <b val="1"/>
      <color rgb="00FFFDE7"/>
      <sz val="12"/>
    </font>
    <font>
      <name val="Arial"/>
      <b val="1"/>
      <color rgb="001A5276"/>
      <sz val="12"/>
    </font>
    <font>
      <name val="Arial"/>
      <b val="1"/>
      <color rgb="007D6608"/>
      <sz val="12"/>
    </font>
    <font>
      <name val="Arial"/>
      <b val="1"/>
      <color rgb="004A235A"/>
      <sz val="12"/>
    </font>
    <font>
      <name val="Arial"/>
      <i val="1"/>
      <color rgb="004A235A"/>
      <sz val="9"/>
    </font>
    <font>
      <name val="Arial"/>
      <b val="1"/>
      <color rgb="001C2833"/>
      <sz val="10"/>
    </font>
    <font>
      <name val="Arial"/>
      <b val="1"/>
      <color rgb="00FDEBD0"/>
      <sz val="14"/>
    </font>
    <font>
      <name val="Arial"/>
      <b val="1"/>
      <color rgb="00FDEBD0"/>
      <sz val="10"/>
    </font>
    <font>
      <name val="Arial"/>
      <b val="1"/>
      <color rgb="00FDEBD0"/>
      <sz val="11"/>
    </font>
    <font>
      <name val="Arial"/>
      <color rgb="00FFFFFF"/>
      <sz val="10"/>
    </font>
    <font>
      <name val="Arial"/>
      <color rgb="00FFFFFF"/>
      <sz val="11"/>
    </font>
    <font>
      <name val="Arial"/>
      <color rgb="00FFFDE7"/>
      <sz val="10"/>
    </font>
    <font>
      <name val="Arial"/>
      <color rgb="00FFFDE7"/>
      <sz val="11"/>
    </font>
    <font>
      <name val="Arial"/>
      <b val="1"/>
      <color rgb="001C2833"/>
      <sz val="11"/>
    </font>
    <font>
      <name val="Arial"/>
      <color rgb="007D6608"/>
      <sz val="10"/>
    </font>
    <font>
      <name val="Arial"/>
      <color rgb="007D6608"/>
      <sz val="11"/>
    </font>
    <font>
      <name val="Arial"/>
      <color rgb="007B241C"/>
      <sz val="10"/>
    </font>
    <font>
      <name val="Arial"/>
      <color rgb="007B241C"/>
      <sz val="11"/>
    </font>
    <font>
      <name val="Arial"/>
      <color rgb="004A235A"/>
      <sz val="10"/>
    </font>
    <font>
      <name val="Arial"/>
      <color rgb="004A235A"/>
      <sz val="11"/>
    </font>
    <font>
      <name val="Arial"/>
      <color rgb="000E6655"/>
      <sz val="10"/>
    </font>
    <font>
      <name val="Arial"/>
      <color rgb="000E6655"/>
      <sz val="11"/>
    </font>
    <font>
      <name val="Arial"/>
      <b val="1"/>
      <color rgb="00FDEBD0"/>
      <sz val="8"/>
    </font>
    <font>
      <name val="Arial"/>
      <color rgb="00F9C74F"/>
      <sz val="9"/>
    </font>
    <font>
      <name val="Arial"/>
      <b val="1"/>
      <color rgb="004A235A"/>
      <sz val="8"/>
    </font>
    <font>
      <name val="Arial"/>
      <i val="1"/>
      <color rgb="0092400E"/>
      <sz val="9"/>
    </font>
    <font>
      <name val="Arial"/>
      <color rgb="00FFFDE7"/>
      <sz val="9"/>
    </font>
    <font>
      <name val="Arial"/>
      <b val="1"/>
      <color rgb="00FDEBD0"/>
      <sz val="13"/>
    </font>
    <font>
      <name val="Arial"/>
      <b val="1"/>
      <color rgb="00FDEBD0"/>
      <sz val="9"/>
    </font>
    <font>
      <name val="Arial"/>
      <color rgb="0017202A"/>
      <sz val="9"/>
    </font>
    <font>
      <name val="Arial"/>
      <b val="1"/>
      <color rgb="00F1F8E9"/>
      <sz val="14"/>
    </font>
    <font>
      <name val="Arial"/>
      <b val="1"/>
      <color rgb="00F1F8E9"/>
      <sz val="10"/>
    </font>
    <font>
      <name val="Arial"/>
      <b val="1"/>
      <color rgb="00F1F8E9"/>
      <sz val="11"/>
    </font>
    <font>
      <name val="Arial"/>
      <b val="1"/>
      <color rgb="00F1F8E9"/>
      <sz val="8"/>
    </font>
    <font>
      <name val="Arial"/>
      <b val="1"/>
      <color rgb="00F1F8E9"/>
      <sz val="13"/>
    </font>
    <font>
      <name val="Arial"/>
      <b val="1"/>
      <color rgb="00F1F8E9"/>
      <sz val="9"/>
    </font>
    <font>
      <name val="Arial"/>
      <b val="1"/>
      <color rgb="00FEF9E7"/>
      <sz val="14"/>
    </font>
    <font>
      <name val="Arial"/>
      <b val="1"/>
      <color rgb="00FEF9E7"/>
      <sz val="10"/>
    </font>
    <font>
      <name val="Arial"/>
      <b val="1"/>
      <color rgb="00FEF9E7"/>
      <sz val="11"/>
    </font>
    <font>
      <name val="Arial"/>
      <b val="1"/>
      <color rgb="00FEF9E7"/>
      <sz val="8"/>
    </font>
    <font>
      <name val="Arial"/>
      <b val="1"/>
      <color rgb="002D6A4F"/>
      <sz val="8"/>
    </font>
    <font>
      <name val="Arial"/>
      <b val="1"/>
      <color rgb="00FEF9E7"/>
      <sz val="13"/>
    </font>
    <font>
      <name val="Arial"/>
      <b val="1"/>
      <color rgb="00FEF9E7"/>
      <sz val="9"/>
    </font>
    <font>
      <name val="Arial"/>
      <b val="1"/>
      <color rgb="00FDFEFE"/>
      <sz val="14"/>
    </font>
    <font>
      <name val="Arial"/>
      <b val="1"/>
      <color rgb="00FDFEFE"/>
      <sz val="10"/>
    </font>
    <font>
      <name val="Arial"/>
      <b val="1"/>
      <color rgb="00FDFEFE"/>
      <sz val="11"/>
    </font>
    <font>
      <name val="Arial"/>
      <b val="1"/>
      <color rgb="00FDFEFE"/>
      <sz val="8"/>
    </font>
    <font>
      <name val="Arial"/>
      <b val="1"/>
      <color rgb="00FDFEFE"/>
      <sz val="13"/>
    </font>
    <font>
      <name val="Arial"/>
      <b val="1"/>
      <color rgb="00FDFEFE"/>
      <sz val="9"/>
    </font>
    <font>
      <name val="Arial"/>
      <b val="1"/>
      <color rgb="00D6EAF8"/>
      <sz val="13"/>
    </font>
    <font>
      <name val="Arial"/>
      <i val="1"/>
      <color rgb="00FFFFFF"/>
      <sz val="9"/>
    </font>
    <font>
      <name val="Arial"/>
      <b val="1"/>
      <i val="1"/>
      <color rgb="001A5276"/>
      <sz val="9"/>
    </font>
    <font>
      <name val="Arial"/>
      <b val="1"/>
      <color rgb="00D6EAF8"/>
      <sz val="10"/>
    </font>
    <font>
      <name val="Arial"/>
      <b val="1"/>
      <color rgb="00D6EAF8"/>
      <sz val="11"/>
    </font>
    <font>
      <name val="Arial"/>
      <b val="1"/>
      <color rgb="00D6EAF8"/>
      <sz val="8"/>
    </font>
    <font>
      <name val="Arial"/>
      <color rgb="00D6EAF8"/>
      <sz val="9"/>
    </font>
    <font>
      <name val="Arial"/>
      <b val="1"/>
      <color rgb="00D6EAF8"/>
      <sz val="14"/>
    </font>
    <font>
      <name val="Arial"/>
      <b val="1"/>
      <color rgb="00D6EAF8"/>
      <sz val="9"/>
    </font>
    <font>
      <name val="Arial"/>
      <b val="1"/>
      <color rgb="00E8DAEF"/>
      <sz val="13"/>
    </font>
    <font>
      <name val="Arial"/>
      <b val="1"/>
      <color rgb="00E8DAEF"/>
      <sz val="10"/>
    </font>
    <font>
      <name val="Arial"/>
      <b val="1"/>
      <color rgb="00E8DAEF"/>
      <sz val="11"/>
    </font>
    <font>
      <name val="Arial"/>
      <b val="1"/>
      <color rgb="00E8DAEF"/>
      <sz val="8"/>
    </font>
    <font>
      <name val="Arial"/>
      <color rgb="00E8DAEF"/>
      <sz val="9"/>
    </font>
    <font>
      <name val="Arial"/>
      <b val="1"/>
      <color rgb="00E8DAEF"/>
      <sz val="14"/>
    </font>
    <font>
      <name val="Arial"/>
      <b val="1"/>
      <color rgb="00E8DAEF"/>
      <sz val="9"/>
    </font>
    <font>
      <name val="Arial"/>
      <color rgb="00FDFEFE"/>
      <sz val="9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ADBD8"/>
      <sz val="14"/>
    </font>
    <font>
      <name val="Arial"/>
      <b val="1"/>
      <color rgb="00FADBD8"/>
      <sz val="10"/>
    </font>
    <font>
      <name val="Arial"/>
      <b val="1"/>
      <color rgb="00FADBD8"/>
      <sz val="11"/>
    </font>
    <font>
      <name val="Arial"/>
      <b val="1"/>
      <color rgb="00FADBD8"/>
      <sz val="8"/>
    </font>
    <font>
      <name val="Arial"/>
      <b val="1"/>
      <color rgb="00FADBD8"/>
      <sz val="13"/>
    </font>
    <font>
      <name val="Arial"/>
      <b val="1"/>
      <color rgb="00FADBD8"/>
      <sz val="9"/>
    </font>
    <font>
      <name val="Arial"/>
      <i val="1"/>
      <color rgb="001C2833"/>
      <sz val="8"/>
    </font>
    <font>
      <name val="Arial"/>
      <color rgb="00D1F2EB"/>
      <sz val="9"/>
    </font>
  </fonts>
  <fills count="4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ADBD8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9F9F9"/>
      </patternFill>
    </fill>
    <fill>
      <patternFill patternType="solid">
        <fgColor rgb="00FFF0F0"/>
      </patternFill>
    </fill>
    <fill>
      <patternFill patternType="solid">
        <fgColor rgb="00F2F3F4"/>
      </patternFill>
    </fill>
    <fill>
      <patternFill patternType="solid">
        <fgColor rgb="0017202A"/>
      </patternFill>
    </fill>
    <fill>
      <patternFill patternType="solid">
        <fgColor rgb="001A5E20"/>
      </patternFill>
    </fill>
    <fill>
      <patternFill patternType="solid">
        <fgColor rgb="007B241C"/>
      </patternFill>
    </fill>
    <fill>
      <patternFill patternType="solid">
        <fgColor rgb="000E6655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784212"/>
      </patternFill>
    </fill>
    <fill>
      <patternFill patternType="solid">
        <fgColor rgb="004A235A"/>
      </patternFill>
    </fill>
    <fill>
      <patternFill patternType="solid">
        <fgColor rgb="00FEF3C7"/>
      </patternFill>
    </fill>
    <fill>
      <patternFill patternType="solid">
        <fgColor rgb="00FFF0E0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3E5F5"/>
      </patternFill>
    </fill>
    <fill>
      <patternFill patternType="solid">
        <fgColor rgb="00D4A017"/>
      </patternFill>
    </fill>
    <fill>
      <patternFill patternType="solid">
        <fgColor rgb="00F5EEF8"/>
      </patternFill>
    </fill>
    <fill>
      <patternFill patternType="solid">
        <fgColor rgb="00DAEAF8"/>
      </patternFill>
    </fill>
    <fill>
      <patternFill patternType="solid">
        <fgColor rgb="00D5F5E3"/>
      </patternFill>
    </fill>
    <fill>
      <patternFill patternType="solid">
        <fgColor rgb="00E8F8F5"/>
      </patternFill>
    </fill>
    <fill>
      <patternFill patternType="solid">
        <fgColor rgb="00E3F2FD"/>
      </patternFill>
    </fill>
    <fill>
      <patternFill patternType="solid">
        <fgColor rgb="001D5E3A"/>
      </patternFill>
    </fill>
    <fill>
      <patternFill patternType="solid">
        <fgColor rgb="007D6608"/>
      </patternFill>
    </fill>
    <fill>
      <patternFill patternType="solid">
        <fgColor rgb="00E9F7EF"/>
      </patternFill>
    </fill>
    <fill>
      <patternFill patternType="solid">
        <fgColor rgb="0078281F"/>
      </patternFill>
    </fill>
    <fill>
      <patternFill patternType="solid">
        <fgColor rgb="00F0FFF4"/>
      </patternFill>
    </fill>
    <fill>
      <patternFill patternType="solid">
        <fgColor rgb="00F1F8E9"/>
      </patternFill>
    </fill>
    <fill>
      <patternFill patternType="solid">
        <fgColor rgb="00FDFEFE"/>
      </patternFill>
    </fill>
    <fill>
      <patternFill patternType="solid">
        <fgColor rgb="00F0F8FF"/>
      </patternFill>
    </fill>
    <fill>
      <patternFill patternType="solid">
        <fgColor rgb="00F8F0FF"/>
      </patternFill>
    </fill>
    <fill>
      <patternFill patternType="solid">
        <fgColor rgb="00FDFEFF"/>
      </patternFill>
    </fill>
    <fill>
      <patternFill patternType="solid">
        <fgColor rgb="001C2833"/>
      </patternFill>
    </fill>
    <fill>
      <patternFill patternType="solid">
        <fgColor rgb="00922B21"/>
      </patternFill>
    </fill>
    <fill>
      <patternFill patternType="solid">
        <fgColor rgb="00FDEDEC"/>
      </patternFill>
    </fill>
  </fills>
  <borders count="46">
    <border>
      <left/>
      <right/>
      <top/>
      <bottom/>
      <diagonal/>
    </border>
    <border>
      <left style="thin">
        <color rgb="00FF4444"/>
      </left>
      <top style="thin">
        <color rgb="00FF4444"/>
      </top>
      <bottom style="thin">
        <color rgb="00FF4444"/>
      </bottom>
    </border>
    <border>
      <top style="thin">
        <color rgb="00FF4444"/>
      </top>
      <bottom style="thin">
        <color rgb="00FF4444"/>
      </bottom>
    </border>
    <border>
      <right style="thin">
        <color rgb="00FF4444"/>
      </right>
      <top style="thin">
        <color rgb="00FF4444"/>
      </top>
      <bottom style="thin">
        <color rgb="00FF4444"/>
      </bottom>
    </border>
    <border>
      <left style="thin">
        <color rgb="00666666"/>
      </left>
      <top style="thin">
        <color rgb="00666666"/>
      </top>
      <bottom style="thin">
        <color rgb="00666666"/>
      </bottom>
    </border>
    <border>
      <top style="thin">
        <color rgb="00666666"/>
      </top>
      <bottom style="thin">
        <color rgb="00666666"/>
      </bottom>
    </border>
    <border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top style="thin">
        <color rgb="00BBBBBB"/>
      </top>
      <bottom style="thin">
        <color rgb="00BBBBBB"/>
      </bottom>
    </border>
    <border>
      <top style="thin">
        <color rgb="00BBBBBB"/>
      </top>
      <bottom style="thin">
        <color rgb="00BBBBBB"/>
      </bottom>
    </border>
    <border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FF4444"/>
      </left>
      <right style="medium">
        <color rgb="00FF4444"/>
      </right>
      <top style="medium">
        <color rgb="00FF4444"/>
      </top>
      <bottom style="medium">
        <color rgb="00FF4444"/>
      </bottom>
    </border>
    <border>
      <left style="thin">
        <color rgb="00444444"/>
      </left>
      <top style="thin">
        <color rgb="00444444"/>
      </top>
      <bottom style="thin">
        <color rgb="00444444"/>
      </bottom>
    </border>
    <border>
      <top style="thin">
        <color rgb="00444444"/>
      </top>
      <bottom style="thin">
        <color rgb="00444444"/>
      </bottom>
    </border>
    <border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666666"/>
      </left>
      <right/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 style="thin">
        <color rgb="00444444"/>
      </left>
      <right/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 style="thin">
        <color rgb="00BBBBBB"/>
      </left>
      <right/>
      <top style="thin">
        <color rgb="00BBBBBB"/>
      </top>
      <bottom style="thin">
        <color rgb="00BBBBBB"/>
      </bottom>
    </border>
    <border>
      <left/>
      <right style="thin">
        <color rgb="00444444"/>
      </right>
      <top style="thin">
        <color rgb="00444444"/>
      </top>
      <bottom/>
      <diagonal/>
    </border>
    <border>
      <right/>
      <top style="thin">
        <color rgb="00BBBBBB"/>
      </top>
      <bottom style="thin">
        <color rgb="00BBBBBB"/>
      </bottom>
    </border>
    <border>
      <left style="thin">
        <color rgb="00D4A017"/>
      </left>
      <right style="thin">
        <color rgb="00D4A017"/>
      </right>
      <top style="thin">
        <color rgb="00D4A017"/>
      </top>
      <bottom style="thin">
        <color rgb="00D4A017"/>
      </bottom>
    </border>
    <border>
      <left/>
      <right/>
      <top style="thin">
        <color rgb="00D4A017"/>
      </top>
      <bottom style="thin">
        <color rgb="00D4A017"/>
      </bottom>
      <diagonal/>
    </border>
    <border>
      <left/>
      <right style="thin">
        <color rgb="00D4A017"/>
      </right>
      <top style="thin">
        <color rgb="00D4A017"/>
      </top>
      <bottom style="thin">
        <color rgb="00D4A017"/>
      </bottom>
      <diagonal/>
    </border>
    <border>
      <left style="thin">
        <color rgb="00DDDDDD"/>
      </lef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 style="thin">
        <color rgb="00DDDDDD"/>
      </bottom>
      <diagonal/>
    </border>
    <border>
      <top style="thin">
        <color rgb="00DDDDDD"/>
      </top>
      <bottom style="thin">
        <color rgb="00DDDDDD"/>
      </bottom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DDDDDD"/>
      </left>
      <right/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right/>
      <top style="thin">
        <color rgb="00DDDDDD"/>
      </top>
      <bottom style="thin">
        <color rgb="00DDDDDD"/>
      </bottom>
    </border>
    <border>
      <left/>
      <right style="thin">
        <color rgb="00DDDDDD"/>
      </right>
      <top style="thin">
        <color rgb="00DDDDDD"/>
      </top>
      <bottom/>
      <diagonal/>
    </border>
    <border>
      <right/>
      <top style="thin">
        <color rgb="00666666"/>
      </top>
      <bottom style="thin">
        <color rgb="00666666"/>
      </bottom>
    </border>
    <border>
      <left/>
      <right/>
      <top style="thin">
        <color rgb="00D4A017"/>
      </top>
      <bottom/>
      <diagonal/>
    </border>
    <border>
      <left/>
      <right style="thin">
        <color rgb="00D4A017"/>
      </right>
      <top style="thin">
        <color rgb="00D4A017"/>
      </top>
      <bottom/>
      <diagonal/>
    </border>
  </borders>
  <cellStyleXfs count="1">
    <xf numFmtId="0" fontId="0" fillId="0" borderId="0"/>
  </cellStyleXfs>
  <cellXfs count="7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0" fillId="0" borderId="5" pivotButton="0" quotePrefix="0" xfId="0"/>
    <xf numFmtId="0" fontId="4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/>
    </xf>
    <xf numFmtId="0" fontId="7" fillId="7" borderId="9" applyAlignment="1" pivotButton="0" quotePrefix="0" xfId="0">
      <alignment horizontal="left" vertical="center"/>
    </xf>
    <xf numFmtId="0" fontId="0" fillId="0" borderId="9" pivotButton="0" quotePrefix="0" xfId="0"/>
    <xf numFmtId="0" fontId="8" fillId="3" borderId="9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 vertical="center"/>
    </xf>
    <xf numFmtId="0" fontId="0" fillId="0" borderId="10" pivotButton="0" quotePrefix="0" xfId="0"/>
    <xf numFmtId="0" fontId="11" fillId="8" borderId="9" applyAlignment="1" pivotButton="0" quotePrefix="0" xfId="0">
      <alignment horizontal="left" vertical="center"/>
    </xf>
    <xf numFmtId="0" fontId="7" fillId="9" borderId="9" applyAlignment="1" pivotButton="0" quotePrefix="0" xfId="0">
      <alignment horizontal="left" vertical="center"/>
    </xf>
    <xf numFmtId="0" fontId="12" fillId="8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4" borderId="9" applyAlignment="1" pivotButton="0" quotePrefix="0" xfId="0">
      <alignment horizontal="center" vertical="center"/>
    </xf>
    <xf numFmtId="0" fontId="15" fillId="5" borderId="9" applyAlignment="1" pivotButton="0" quotePrefix="0" xfId="0">
      <alignment horizontal="center" vertical="center"/>
    </xf>
    <xf numFmtId="0" fontId="16" fillId="6" borderId="8" applyAlignment="1" pivotButton="0" quotePrefix="0" xfId="0">
      <alignment horizontal="center" vertical="center"/>
    </xf>
    <xf numFmtId="0" fontId="17" fillId="6" borderId="9" applyAlignment="1" pivotButton="0" quotePrefix="0" xfId="0">
      <alignment horizontal="left" vertical="center"/>
    </xf>
    <xf numFmtId="0" fontId="18" fillId="2" borderId="8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18" fillId="10" borderId="8" applyAlignment="1" pivotButton="0" quotePrefix="0" xfId="0">
      <alignment horizontal="left" vertical="center"/>
    </xf>
    <xf numFmtId="0" fontId="20" fillId="5" borderId="8" applyAlignment="1" pivotButton="0" quotePrefix="0" xfId="0">
      <alignment horizontal="left" vertical="center"/>
    </xf>
    <xf numFmtId="0" fontId="21" fillId="8" borderId="9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0" fontId="22" fillId="5" borderId="8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/>
    </xf>
    <xf numFmtId="0" fontId="23" fillId="2" borderId="5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4" fillId="8" borderId="8" applyAlignment="1" pivotButton="0" quotePrefix="0" xfId="0">
      <alignment horizontal="left" vertical="center" wrapText="1"/>
    </xf>
    <xf numFmtId="164" fontId="21" fillId="8" borderId="9" applyAlignment="1" pivotButton="0" quotePrefix="0" xfId="0">
      <alignment horizontal="right" vertical="center"/>
    </xf>
    <xf numFmtId="164" fontId="21" fillId="8" borderId="10" applyAlignment="1" pivotButton="0" quotePrefix="0" xfId="0">
      <alignment horizontal="right" vertical="center"/>
    </xf>
    <xf numFmtId="0" fontId="25" fillId="11" borderId="8" applyAlignment="1" pivotButton="0" quotePrefix="0" xfId="0">
      <alignment horizontal="left" vertical="center"/>
    </xf>
    <xf numFmtId="0" fontId="16" fillId="6" borderId="8" applyAlignment="1" pivotButton="0" quotePrefix="0" xfId="0">
      <alignment horizontal="left" vertical="center"/>
    </xf>
    <xf numFmtId="164" fontId="6" fillId="6" borderId="9" applyAlignment="1" pivotButton="0" quotePrefix="0" xfId="0">
      <alignment horizontal="right" vertical="center"/>
    </xf>
    <xf numFmtId="164" fontId="6" fillId="6" borderId="10" applyAlignment="1" pivotButton="0" quotePrefix="0" xfId="0">
      <alignment horizontal="right" vertical="center"/>
    </xf>
    <xf numFmtId="164" fontId="17" fillId="6" borderId="9" applyAlignment="1" pivotButton="0" quotePrefix="0" xfId="0">
      <alignment horizontal="right" vertical="center"/>
    </xf>
    <xf numFmtId="164" fontId="17" fillId="6" borderId="10" applyAlignment="1" pivotButton="0" quotePrefix="0" xfId="0">
      <alignment horizontal="right" vertical="center"/>
    </xf>
    <xf numFmtId="0" fontId="25" fillId="11" borderId="12" applyAlignment="1" pivotButton="0" quotePrefix="0" xfId="0">
      <alignment horizontal="left" vertical="center"/>
    </xf>
    <xf numFmtId="164" fontId="25" fillId="11" borderId="13" applyAlignment="1" pivotButton="0" quotePrefix="0" xfId="0">
      <alignment horizontal="right" vertical="center"/>
    </xf>
    <xf numFmtId="164" fontId="25" fillId="11" borderId="14" applyAlignment="1" pivotButton="0" quotePrefix="0" xfId="0">
      <alignment horizontal="right" vertical="center"/>
    </xf>
    <xf numFmtId="0" fontId="25" fillId="12" borderId="8" applyAlignment="1" pivotButton="0" quotePrefix="0" xfId="0">
      <alignment horizontal="left" vertical="center"/>
    </xf>
    <xf numFmtId="0" fontId="26" fillId="4" borderId="8" applyAlignment="1" pivotButton="0" quotePrefix="0" xfId="0">
      <alignment horizontal="left" vertical="center"/>
    </xf>
    <xf numFmtId="164" fontId="26" fillId="4" borderId="9" applyAlignment="1" pivotButton="0" quotePrefix="0" xfId="0">
      <alignment horizontal="right" vertical="center"/>
    </xf>
    <xf numFmtId="164" fontId="26" fillId="4" borderId="10" applyAlignment="1" pivotButton="0" quotePrefix="0" xfId="0">
      <alignment horizontal="right" vertical="center"/>
    </xf>
    <xf numFmtId="0" fontId="25" fillId="12" borderId="12" applyAlignment="1" pivotButton="0" quotePrefix="0" xfId="0">
      <alignment horizontal="left" vertical="center"/>
    </xf>
    <xf numFmtId="164" fontId="25" fillId="12" borderId="13" applyAlignment="1" pivotButton="0" quotePrefix="0" xfId="0">
      <alignment horizontal="right" vertical="center"/>
    </xf>
    <xf numFmtId="164" fontId="25" fillId="12" borderId="14" applyAlignment="1" pivotButton="0" quotePrefix="0" xfId="0">
      <alignment horizontal="right" vertical="center"/>
    </xf>
    <xf numFmtId="0" fontId="27" fillId="13" borderId="12" applyAlignment="1" pivotButton="0" quotePrefix="0" xfId="0">
      <alignment horizontal="left" vertical="center"/>
    </xf>
    <xf numFmtId="164" fontId="27" fillId="13" borderId="13" applyAlignment="1" pivotButton="0" quotePrefix="0" xfId="0">
      <alignment horizontal="right" vertical="center"/>
    </xf>
    <xf numFmtId="164" fontId="27" fillId="13" borderId="14" applyAlignment="1" pivotButton="0" quotePrefix="0" xfId="0">
      <alignment horizontal="right" vertical="center"/>
    </xf>
    <xf numFmtId="0" fontId="27" fillId="14" borderId="12" applyAlignment="1" pivotButton="0" quotePrefix="0" xfId="0">
      <alignment horizontal="left" vertical="center"/>
    </xf>
    <xf numFmtId="164" fontId="27" fillId="14" borderId="13" applyAlignment="1" pivotButton="0" quotePrefix="0" xfId="0">
      <alignment horizontal="right" vertical="center"/>
    </xf>
    <xf numFmtId="164" fontId="27" fillId="14" borderId="14" applyAlignment="1" pivotButton="0" quotePrefix="0" xfId="0">
      <alignment horizontal="right" vertical="center"/>
    </xf>
    <xf numFmtId="0" fontId="28" fillId="5" borderId="8" applyAlignment="1" pivotButton="0" quotePrefix="0" xfId="0">
      <alignment horizontal="left" vertical="center"/>
    </xf>
    <xf numFmtId="0" fontId="29" fillId="15" borderId="9" applyAlignment="1" pivotButton="0" quotePrefix="0" xfId="0">
      <alignment horizontal="left" vertical="center"/>
    </xf>
    <xf numFmtId="0" fontId="25" fillId="16" borderId="8" applyAlignment="1" pivotButton="0" quotePrefix="0" xfId="0">
      <alignment horizontal="left" vertical="center"/>
    </xf>
    <xf numFmtId="0" fontId="25" fillId="16" borderId="12" applyAlignment="1" pivotButton="0" quotePrefix="0" xfId="0">
      <alignment horizontal="left" vertical="center"/>
    </xf>
    <xf numFmtId="164" fontId="25" fillId="16" borderId="13" applyAlignment="1" pivotButton="0" quotePrefix="0" xfId="0">
      <alignment horizontal="right" vertical="center"/>
    </xf>
    <xf numFmtId="164" fontId="25" fillId="16" borderId="14" applyAlignment="1" pivotButton="0" quotePrefix="0" xfId="0">
      <alignment horizontal="right" vertical="center"/>
    </xf>
    <xf numFmtId="0" fontId="25" fillId="17" borderId="8" applyAlignment="1" pivotButton="0" quotePrefix="0" xfId="0">
      <alignment horizontal="left" vertical="center"/>
    </xf>
    <xf numFmtId="0" fontId="25" fillId="17" borderId="12" applyAlignment="1" pivotButton="0" quotePrefix="0" xfId="0">
      <alignment horizontal="left" vertical="center"/>
    </xf>
    <xf numFmtId="164" fontId="25" fillId="17" borderId="13" applyAlignment="1" pivotButton="0" quotePrefix="0" xfId="0">
      <alignment horizontal="right" vertical="center"/>
    </xf>
    <xf numFmtId="164" fontId="25" fillId="17" borderId="14" applyAlignment="1" pivotButton="0" quotePrefix="0" xfId="0">
      <alignment horizontal="right" vertical="center"/>
    </xf>
    <xf numFmtId="0" fontId="30" fillId="10" borderId="12" applyAlignment="1" pivotButton="0" quotePrefix="0" xfId="0">
      <alignment horizontal="left" vertical="center"/>
    </xf>
    <xf numFmtId="164" fontId="30" fillId="10" borderId="13" applyAlignment="1" pivotButton="0" quotePrefix="0" xfId="0">
      <alignment horizontal="right" vertical="center"/>
    </xf>
    <xf numFmtId="164" fontId="30" fillId="10" borderId="14" applyAlignment="1" pivotButton="0" quotePrefix="0" xfId="0">
      <alignment horizontal="right" vertical="center"/>
    </xf>
    <xf numFmtId="0" fontId="8" fillId="14" borderId="12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1" fillId="15" borderId="9" applyAlignment="1" pivotButton="0" quotePrefix="0" xfId="0">
      <alignment horizontal="center" vertical="center"/>
    </xf>
    <xf numFmtId="0" fontId="32" fillId="8" borderId="9" applyAlignment="1" pivotButton="0" quotePrefix="0" xfId="0">
      <alignment horizontal="left" vertical="center"/>
    </xf>
    <xf numFmtId="0" fontId="8" fillId="12" borderId="4" applyAlignment="1" pivotButton="0" quotePrefix="0" xfId="0">
      <alignment horizontal="center" vertical="center"/>
    </xf>
    <xf numFmtId="0" fontId="8" fillId="12" borderId="5" applyAlignment="1" pivotButton="0" quotePrefix="0" xfId="0">
      <alignment horizontal="center" vertical="center"/>
    </xf>
    <xf numFmtId="0" fontId="16" fillId="4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33" fillId="5" borderId="9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8" fillId="12" borderId="12" applyAlignment="1" pivotButton="0" quotePrefix="0" xfId="0">
      <alignment horizontal="center" vertical="center" wrapText="1"/>
    </xf>
    <xf numFmtId="0" fontId="8" fillId="12" borderId="13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left" vertical="center" wrapText="1"/>
    </xf>
    <xf numFmtId="0" fontId="34" fillId="8" borderId="9" applyAlignment="1" pivotButton="0" quotePrefix="0" xfId="0">
      <alignment horizontal="center" vertical="center"/>
    </xf>
    <xf numFmtId="0" fontId="35" fillId="4" borderId="9" applyAlignment="1" pivotButton="0" quotePrefix="0" xfId="0">
      <alignment horizontal="center" vertical="center"/>
    </xf>
    <xf numFmtId="0" fontId="36" fillId="4" borderId="9" applyAlignment="1" pivotButton="0" quotePrefix="0" xfId="0">
      <alignment horizontal="center" vertical="center"/>
    </xf>
    <xf numFmtId="0" fontId="37" fillId="6" borderId="9" applyAlignment="1" pivotButton="0" quotePrefix="0" xfId="0">
      <alignment horizontal="left" vertical="center" wrapText="1"/>
    </xf>
    <xf numFmtId="0" fontId="38" fillId="5" borderId="9" applyAlignment="1" pivotButton="0" quotePrefix="0" xfId="0">
      <alignment horizontal="left" vertical="center" wrapText="1"/>
    </xf>
    <xf numFmtId="0" fontId="20" fillId="5" borderId="9" applyAlignment="1" pivotButton="0" quotePrefix="0" xfId="0">
      <alignment horizontal="left" vertical="center" wrapText="1"/>
    </xf>
    <xf numFmtId="0" fontId="39" fillId="5" borderId="9" applyAlignment="1" pivotButton="0" quotePrefix="0" xfId="0">
      <alignment horizontal="center" vertical="center"/>
    </xf>
    <xf numFmtId="0" fontId="36" fillId="5" borderId="9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20" fillId="6" borderId="9" applyAlignment="1" pivotButton="0" quotePrefix="0" xfId="0">
      <alignment horizontal="left" vertical="center" wrapText="1"/>
    </xf>
    <xf numFmtId="0" fontId="40" fillId="6" borderId="9" applyAlignment="1" pivotButton="0" quotePrefix="0" xfId="0">
      <alignment horizontal="center" vertical="center"/>
    </xf>
    <xf numFmtId="0" fontId="36" fillId="6" borderId="9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/>
    </xf>
    <xf numFmtId="0" fontId="4" fillId="10" borderId="5" applyAlignment="1" pivotButton="0" quotePrefix="0" xfId="0">
      <alignment horizontal="center" vertical="center"/>
    </xf>
    <xf numFmtId="0" fontId="6" fillId="6" borderId="8" applyAlignment="1" pivotButton="0" quotePrefix="0" xfId="0">
      <alignment horizontal="left" vertical="center"/>
    </xf>
    <xf numFmtId="0" fontId="16" fillId="6" borderId="9" applyAlignment="1" pivotButton="0" quotePrefix="0" xfId="0">
      <alignment horizontal="left" vertical="center" wrapText="1"/>
    </xf>
    <xf numFmtId="0" fontId="41" fillId="6" borderId="9" applyAlignment="1" pivotButton="0" quotePrefix="0" xfId="0">
      <alignment horizontal="left" vertical="center"/>
    </xf>
    <xf numFmtId="0" fontId="33" fillId="5" borderId="8" applyAlignment="1" pivotButton="0" quotePrefix="0" xfId="0">
      <alignment horizontal="left" vertical="center"/>
    </xf>
    <xf numFmtId="0" fontId="16" fillId="5" borderId="9" applyAlignment="1" pivotButton="0" quotePrefix="0" xfId="0">
      <alignment horizontal="left" vertical="center" wrapText="1"/>
    </xf>
    <xf numFmtId="0" fontId="22" fillId="5" borderId="9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6" fillId="4" borderId="9" applyAlignment="1" pivotButton="0" quotePrefix="0" xfId="0">
      <alignment horizontal="left" vertical="center" wrapText="1"/>
    </xf>
    <xf numFmtId="0" fontId="42" fillId="4" borderId="9" applyAlignment="1" pivotButton="0" quotePrefix="0" xfId="0">
      <alignment horizontal="left" vertical="center"/>
    </xf>
    <xf numFmtId="0" fontId="23" fillId="2" borderId="4" applyAlignment="1" pivotButton="0" quotePrefix="0" xfId="0">
      <alignment horizontal="center" vertical="center" wrapText="1"/>
    </xf>
    <xf numFmtId="0" fontId="23" fillId="2" borderId="5" applyAlignment="1" pivotButton="0" quotePrefix="0" xfId="0">
      <alignment horizontal="center" vertical="center" wrapText="1"/>
    </xf>
    <xf numFmtId="0" fontId="5" fillId="15" borderId="8" applyAlignment="1" pivotButton="0" quotePrefix="0" xfId="0">
      <alignment horizontal="center" vertical="center"/>
    </xf>
    <xf numFmtId="0" fontId="43" fillId="15" borderId="9" applyAlignment="1" pivotButton="0" quotePrefix="0" xfId="0">
      <alignment horizontal="left" vertical="center"/>
    </xf>
    <xf numFmtId="0" fontId="43" fillId="15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44" fillId="8" borderId="9" applyAlignment="1" pivotButton="0" quotePrefix="0" xfId="0">
      <alignment horizontal="left" vertical="center"/>
    </xf>
    <xf numFmtId="0" fontId="5" fillId="18" borderId="8" applyAlignment="1" pivotButton="0" quotePrefix="0" xfId="0">
      <alignment horizontal="center" vertical="center"/>
    </xf>
    <xf numFmtId="0" fontId="33" fillId="18" borderId="9" applyAlignment="1" pivotButton="0" quotePrefix="0" xfId="0">
      <alignment horizontal="left" vertical="center"/>
    </xf>
    <xf numFmtId="0" fontId="33" fillId="18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5" fillId="19" borderId="8" applyAlignment="1" pivotButton="0" quotePrefix="0" xfId="0">
      <alignment horizontal="center" vertical="center"/>
    </xf>
    <xf numFmtId="0" fontId="33" fillId="19" borderId="9" applyAlignment="1" pivotButton="0" quotePrefix="0" xfId="0">
      <alignment horizontal="left" vertical="center"/>
    </xf>
    <xf numFmtId="0" fontId="33" fillId="19" borderId="9" applyAlignment="1" pivotButton="0" quotePrefix="0" xfId="0">
      <alignment horizontal="center" vertical="center"/>
    </xf>
    <xf numFmtId="0" fontId="5" fillId="20" borderId="8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0" fontId="45" fillId="20" borderId="9" applyAlignment="1" pivotButton="0" quotePrefix="0" xfId="0">
      <alignment horizontal="center" vertical="center"/>
    </xf>
    <xf numFmtId="0" fontId="5" fillId="21" borderId="8" applyAlignment="1" pivotButton="0" quotePrefix="0" xfId="0">
      <alignment horizontal="center" vertical="center"/>
    </xf>
    <xf numFmtId="0" fontId="46" fillId="21" borderId="9" applyAlignment="1" pivotButton="0" quotePrefix="0" xfId="0">
      <alignment horizontal="left" vertical="center"/>
    </xf>
    <xf numFmtId="0" fontId="46" fillId="21" borderId="9" applyAlignment="1" pivotButton="0" quotePrefix="0" xfId="0">
      <alignment horizontal="center" vertical="center"/>
    </xf>
    <xf numFmtId="0" fontId="19" fillId="4" borderId="9" applyAlignment="1" pivotButton="0" quotePrefix="0" xfId="0">
      <alignment horizontal="left" vertical="center"/>
    </xf>
    <xf numFmtId="0" fontId="19" fillId="4" borderId="9" applyAlignment="1" pivotButton="0" quotePrefix="0" xfId="0">
      <alignment horizontal="center" vertical="center"/>
    </xf>
    <xf numFmtId="0" fontId="47" fillId="13" borderId="4" applyAlignment="1" pivotButton="0" quotePrefix="0" xfId="0">
      <alignment horizontal="center" vertical="center"/>
    </xf>
    <xf numFmtId="0" fontId="47" fillId="13" borderId="5" applyAlignment="1" pivotButton="0" quotePrefix="0" xfId="0">
      <alignment horizontal="center" vertical="center"/>
    </xf>
    <xf numFmtId="0" fontId="5" fillId="22" borderId="8" applyAlignment="1" pivotButton="0" quotePrefix="0" xfId="0">
      <alignment horizontal="center" vertical="center"/>
    </xf>
    <xf numFmtId="0" fontId="5" fillId="22" borderId="9" applyAlignment="1" pivotButton="0" quotePrefix="0" xfId="0">
      <alignment horizontal="left" vertical="center"/>
    </xf>
    <xf numFmtId="0" fontId="48" fillId="22" borderId="9" applyAlignment="1" pivotButton="0" quotePrefix="0" xfId="0">
      <alignment horizontal="center" vertical="center"/>
    </xf>
    <xf numFmtId="0" fontId="5" fillId="21" borderId="9" applyAlignment="1" pivotButton="0" quotePrefix="0" xfId="0">
      <alignment horizontal="left" vertical="center"/>
    </xf>
    <xf numFmtId="0" fontId="48" fillId="21" borderId="9" applyAlignment="1" pivotButton="0" quotePrefix="0" xfId="0">
      <alignment horizontal="center" vertical="center"/>
    </xf>
    <xf numFmtId="0" fontId="49" fillId="22" borderId="9" applyAlignment="1" pivotButton="0" quotePrefix="0" xfId="0">
      <alignment horizontal="center" vertical="center"/>
    </xf>
    <xf numFmtId="0" fontId="16" fillId="22" borderId="9" applyAlignment="1" pivotButton="0" quotePrefix="0" xfId="0">
      <alignment horizontal="center" vertical="center"/>
    </xf>
    <xf numFmtId="0" fontId="49" fillId="21" borderId="9" applyAlignment="1" pivotButton="0" quotePrefix="0" xfId="0">
      <alignment horizontal="center" vertical="center"/>
    </xf>
    <xf numFmtId="0" fontId="16" fillId="21" borderId="9" applyAlignment="1" pivotButton="0" quotePrefix="0" xfId="0">
      <alignment horizontal="center" vertical="center"/>
    </xf>
    <xf numFmtId="0" fontId="47" fillId="17" borderId="4" applyAlignment="1" pivotButton="0" quotePrefix="0" xfId="0">
      <alignment horizontal="center" vertical="center"/>
    </xf>
    <xf numFmtId="0" fontId="47" fillId="17" borderId="5" applyAlignment="1" pivotButton="0" quotePrefix="0" xfId="0">
      <alignment horizontal="center" vertical="center"/>
    </xf>
    <xf numFmtId="0" fontId="45" fillId="20" borderId="8" applyAlignment="1" pivotButton="0" quotePrefix="0" xfId="0">
      <alignment horizontal="center" vertical="center"/>
    </xf>
    <xf numFmtId="0" fontId="8" fillId="17" borderId="4" applyAlignment="1" pivotButton="0" quotePrefix="0" xfId="0">
      <alignment horizontal="center" vertical="center" wrapText="1"/>
    </xf>
    <xf numFmtId="0" fontId="8" fillId="17" borderId="5" applyAlignment="1" pivotButton="0" quotePrefix="0" xfId="0">
      <alignment horizontal="center" vertical="center" wrapText="1"/>
    </xf>
    <xf numFmtId="0" fontId="45" fillId="5" borderId="8" applyAlignment="1" pivotButton="0" quotePrefix="0" xfId="0">
      <alignment horizontal="center" vertical="center"/>
    </xf>
    <xf numFmtId="0" fontId="45" fillId="22" borderId="9" applyAlignment="1" pivotButton="0" quotePrefix="0" xfId="0">
      <alignment horizontal="left" vertical="center"/>
    </xf>
    <xf numFmtId="0" fontId="50" fillId="22" borderId="9" applyAlignment="1" pivotButton="0" quotePrefix="0" xfId="0">
      <alignment horizontal="left" vertical="center" wrapText="1"/>
    </xf>
    <xf numFmtId="0" fontId="51" fillId="6" borderId="9" applyAlignment="1" pivotButton="0" quotePrefix="0" xfId="0">
      <alignment horizontal="left" vertical="center"/>
    </xf>
    <xf numFmtId="0" fontId="50" fillId="20" borderId="9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0" fillId="6" borderId="9" applyAlignment="1" pivotButton="0" quotePrefix="0" xfId="0">
      <alignment horizontal="left" vertical="center" wrapText="1"/>
    </xf>
    <xf numFmtId="0" fontId="5" fillId="15" borderId="8" applyAlignment="1" pivotButton="0" quotePrefix="0" xfId="0">
      <alignment horizontal="left" vertical="center" wrapText="1"/>
    </xf>
    <xf numFmtId="0" fontId="16" fillId="15" borderId="9" applyAlignment="1" pivotButton="0" quotePrefix="0" xfId="0">
      <alignment horizontal="left" vertical="center" wrapText="1"/>
    </xf>
    <xf numFmtId="0" fontId="50" fillId="15" borderId="9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50" fillId="5" borderId="9" applyAlignment="1" pivotButton="0" quotePrefix="0" xfId="0">
      <alignment horizontal="left" vertical="center" wrapText="1"/>
    </xf>
    <xf numFmtId="0" fontId="5" fillId="20" borderId="8" applyAlignment="1" pivotButton="0" quotePrefix="0" xfId="0">
      <alignment horizontal="left" vertical="center" wrapText="1"/>
    </xf>
    <xf numFmtId="0" fontId="16" fillId="20" borderId="9" applyAlignment="1" pivotButton="0" quotePrefix="0" xfId="0">
      <alignment horizontal="left" vertical="center" wrapText="1"/>
    </xf>
    <xf numFmtId="0" fontId="5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2" fillId="5" borderId="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18" fillId="10" borderId="7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50" fillId="6" borderId="7" applyAlignment="1" pivotButton="0" quotePrefix="0" xfId="0">
      <alignment horizontal="center" vertical="center"/>
    </xf>
    <xf numFmtId="0" fontId="16" fillId="6" borderId="7" applyAlignment="1" pivotButton="0" quotePrefix="0" xfId="0">
      <alignment horizontal="left" vertical="center" wrapText="1"/>
    </xf>
    <xf numFmtId="0" fontId="16" fillId="6" borderId="7" applyAlignment="1" pivotButton="0" quotePrefix="0" xfId="0">
      <alignment horizontal="center" vertical="center"/>
    </xf>
    <xf numFmtId="164" fontId="53" fillId="23" borderId="7" applyAlignment="1" pivotButton="0" quotePrefix="0" xfId="0">
      <alignment horizontal="right" vertical="center"/>
    </xf>
    <xf numFmtId="164" fontId="54" fillId="5" borderId="7" applyAlignment="1" pivotButton="0" quotePrefix="0" xfId="0">
      <alignment horizontal="right" vertical="center"/>
    </xf>
    <xf numFmtId="0" fontId="28" fillId="18" borderId="7" applyAlignment="1" pivotButton="0" quotePrefix="0" xfId="0">
      <alignment horizontal="center" vertical="center"/>
    </xf>
    <xf numFmtId="0" fontId="55" fillId="6" borderId="7" applyAlignment="1" pivotButton="0" quotePrefix="0" xfId="0">
      <alignment vertical="center" wrapText="1"/>
    </xf>
    <xf numFmtId="0" fontId="50" fillId="22" borderId="7" applyAlignment="1" pivotButton="0" quotePrefix="0" xfId="0">
      <alignment horizontal="center" vertical="center"/>
    </xf>
    <xf numFmtId="0" fontId="16" fillId="22" borderId="7" applyAlignment="1" pivotButton="0" quotePrefix="0" xfId="0">
      <alignment horizontal="left" vertical="center" wrapText="1"/>
    </xf>
    <xf numFmtId="0" fontId="16" fillId="22" borderId="7" applyAlignment="1" pivotButton="0" quotePrefix="0" xfId="0">
      <alignment horizontal="center" vertical="center"/>
    </xf>
    <xf numFmtId="0" fontId="55" fillId="22" borderId="7" applyAlignment="1" pivotButton="0" quotePrefix="0" xfId="0">
      <alignment vertical="center" wrapText="1"/>
    </xf>
    <xf numFmtId="0" fontId="56" fillId="23" borderId="7" applyAlignment="1" pivotButton="0" quotePrefix="0" xfId="0">
      <alignment horizontal="center" vertical="center"/>
    </xf>
    <xf numFmtId="0" fontId="57" fillId="2" borderId="23" applyAlignment="1" pivotButton="0" quotePrefix="0" xfId="0">
      <alignment horizontal="left" vertical="center"/>
    </xf>
    <xf numFmtId="164" fontId="18" fillId="2" borderId="5" applyAlignment="1" pivotButton="0" quotePrefix="0" xfId="0">
      <alignment horizontal="right" vertical="center"/>
    </xf>
    <xf numFmtId="0" fontId="44" fillId="2" borderId="6" applyAlignment="1" pivotButton="0" quotePrefix="0" xfId="0">
      <alignment horizontal="left" vertical="center"/>
    </xf>
    <xf numFmtId="0" fontId="58" fillId="15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left" vertical="center" wrapText="1"/>
    </xf>
    <xf numFmtId="0" fontId="17" fillId="6" borderId="7" applyAlignment="1" pivotButton="0" quotePrefix="0" xfId="0">
      <alignment horizontal="left" vertical="center" wrapText="1"/>
    </xf>
    <xf numFmtId="164" fontId="59" fillId="6" borderId="7" applyAlignment="1" pivotButton="0" quotePrefix="0" xfId="0">
      <alignment horizontal="right" vertical="center"/>
    </xf>
    <xf numFmtId="0" fontId="60" fillId="2" borderId="26" applyAlignment="1" pivotButton="0" quotePrefix="0" xfId="0">
      <alignment horizontal="left" vertical="center"/>
    </xf>
    <xf numFmtId="0" fontId="0" fillId="0" borderId="21" pivotButton="0" quotePrefix="0" xfId="0"/>
    <xf numFmtId="164" fontId="61" fillId="2" borderId="13" applyAlignment="1" pivotButton="0" quotePrefix="0" xfId="0">
      <alignment horizontal="right" vertical="center"/>
    </xf>
    <xf numFmtId="0" fontId="62" fillId="2" borderId="14" applyAlignment="1" pivotButton="0" quotePrefix="0" xfId="0">
      <alignment horizontal="left" vertical="center"/>
    </xf>
    <xf numFmtId="0" fontId="0" fillId="0" borderId="22" pivotButton="0" quotePrefix="0" xfId="0"/>
    <xf numFmtId="0" fontId="63" fillId="23" borderId="28" applyAlignment="1" pivotButton="0" quotePrefix="0" xfId="0">
      <alignment horizontal="left" vertical="center"/>
    </xf>
    <xf numFmtId="164" fontId="56" fillId="23" borderId="9" applyAlignment="1" pivotButton="0" quotePrefix="0" xfId="0">
      <alignment horizontal="right"/>
    </xf>
    <xf numFmtId="0" fontId="64" fillId="23" borderId="9" applyAlignment="1" pivotButton="0" quotePrefix="0" xfId="0">
      <alignment horizontal="center" vertical="center"/>
    </xf>
    <xf numFmtId="0" fontId="65" fillId="23" borderId="10" applyAlignment="1" pivotButton="0" quotePrefix="0" xfId="0">
      <alignment horizontal="left" vertical="center"/>
    </xf>
    <xf numFmtId="0" fontId="63" fillId="6" borderId="28" applyAlignment="1" pivotButton="0" quotePrefix="0" xfId="0">
      <alignment horizontal="left" vertical="center"/>
    </xf>
    <xf numFmtId="164" fontId="56" fillId="6" borderId="9" applyAlignment="1" pivotButton="0" quotePrefix="0" xfId="0">
      <alignment horizontal="right"/>
    </xf>
    <xf numFmtId="0" fontId="64" fillId="6" borderId="9" applyAlignment="1" pivotButton="0" quotePrefix="0" xfId="0">
      <alignment horizontal="center" vertical="center"/>
    </xf>
    <xf numFmtId="0" fontId="65" fillId="6" borderId="10" applyAlignment="1" pivotButton="0" quotePrefix="0" xfId="0">
      <alignment horizontal="left" vertical="center"/>
    </xf>
    <xf numFmtId="0" fontId="63" fillId="24" borderId="28" applyAlignment="1" pivotButton="0" quotePrefix="0" xfId="0">
      <alignment horizontal="left" vertical="center"/>
    </xf>
    <xf numFmtId="164" fontId="56" fillId="24" borderId="9" applyAlignment="1" pivotButton="0" quotePrefix="0" xfId="0">
      <alignment horizontal="right"/>
    </xf>
    <xf numFmtId="0" fontId="64" fillId="24" borderId="9" applyAlignment="1" pivotButton="0" quotePrefix="0" xfId="0">
      <alignment horizontal="center" vertical="center"/>
    </xf>
    <xf numFmtId="0" fontId="65" fillId="24" borderId="10" applyAlignment="1" pivotButton="0" quotePrefix="0" xfId="0">
      <alignment horizontal="left" vertical="center"/>
    </xf>
    <xf numFmtId="0" fontId="63" fillId="25" borderId="28" applyAlignment="1" pivotButton="0" quotePrefix="0" xfId="0">
      <alignment horizontal="left" vertical="center"/>
    </xf>
    <xf numFmtId="164" fontId="56" fillId="25" borderId="9" applyAlignment="1" pivotButton="0" quotePrefix="0" xfId="0">
      <alignment horizontal="right"/>
    </xf>
    <xf numFmtId="0" fontId="64" fillId="25" borderId="9" applyAlignment="1" pivotButton="0" quotePrefix="0" xfId="0">
      <alignment horizontal="center" vertical="center"/>
    </xf>
    <xf numFmtId="0" fontId="65" fillId="25" borderId="10" applyAlignment="1" pivotButton="0" quotePrefix="0" xfId="0">
      <alignment horizontal="left" vertical="center"/>
    </xf>
    <xf numFmtId="0" fontId="63" fillId="4" borderId="28" applyAlignment="1" pivotButton="0" quotePrefix="0" xfId="0">
      <alignment horizontal="left" vertical="center"/>
    </xf>
    <xf numFmtId="164" fontId="56" fillId="4" borderId="9" applyAlignment="1" pivotButton="0" quotePrefix="0" xfId="0">
      <alignment horizontal="right"/>
    </xf>
    <xf numFmtId="0" fontId="64" fillId="4" borderId="9" applyAlignment="1" pivotButton="0" quotePrefix="0" xfId="0">
      <alignment horizontal="center" vertical="center"/>
    </xf>
    <xf numFmtId="0" fontId="65" fillId="4" borderId="10" applyAlignment="1" pivotButton="0" quotePrefix="0" xfId="0">
      <alignment horizontal="left" vertical="center"/>
    </xf>
    <xf numFmtId="0" fontId="63" fillId="5" borderId="28" applyAlignment="1" pivotButton="0" quotePrefix="0" xfId="0">
      <alignment horizontal="left" vertical="center"/>
    </xf>
    <xf numFmtId="164" fontId="56" fillId="5" borderId="9" applyAlignment="1" pivotButton="0" quotePrefix="0" xfId="0">
      <alignment horizontal="right"/>
    </xf>
    <xf numFmtId="0" fontId="64" fillId="5" borderId="9" applyAlignment="1" pivotButton="0" quotePrefix="0" xfId="0">
      <alignment horizontal="center" vertical="center"/>
    </xf>
    <xf numFmtId="0" fontId="65" fillId="5" borderId="10" applyAlignment="1" pivotButton="0" quotePrefix="0" xfId="0">
      <alignment horizontal="left" vertical="center"/>
    </xf>
    <xf numFmtId="0" fontId="27" fillId="13" borderId="7" applyAlignment="1" pivotButton="0" quotePrefix="0" xfId="0">
      <alignment horizontal="left" vertical="center"/>
    </xf>
    <xf numFmtId="0" fontId="50" fillId="6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/>
    </xf>
    <xf numFmtId="0" fontId="66" fillId="6" borderId="10" applyAlignment="1" pivotButton="0" quotePrefix="0" xfId="0">
      <alignment vertical="center" wrapText="1"/>
    </xf>
    <xf numFmtId="0" fontId="50" fillId="22" borderId="8" applyAlignment="1" pivotButton="0" quotePrefix="0" xfId="0">
      <alignment horizontal="center" vertical="center"/>
    </xf>
    <xf numFmtId="0" fontId="6" fillId="22" borderId="9" applyAlignment="1" pivotButton="0" quotePrefix="0" xfId="0">
      <alignment horizontal="left" vertical="center"/>
    </xf>
    <xf numFmtId="0" fontId="66" fillId="22" borderId="1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67" fillId="23" borderId="8" applyAlignment="1" pivotButton="0" quotePrefix="0" xfId="0">
      <alignment horizontal="left" vertical="center"/>
    </xf>
    <xf numFmtId="0" fontId="31" fillId="23" borderId="9" applyAlignment="1" pivotButton="0" quotePrefix="0" xfId="0">
      <alignment horizontal="center" vertical="center" wrapText="1"/>
    </xf>
    <xf numFmtId="0" fontId="68" fillId="7" borderId="9" applyAlignment="1" pivotButton="0" quotePrefix="0" xfId="0">
      <alignment horizontal="center" vertical="center" wrapText="1"/>
    </xf>
    <xf numFmtId="0" fontId="68" fillId="7" borderId="10" applyAlignment="1" pivotButton="0" quotePrefix="0" xfId="0">
      <alignment horizontal="center" vertical="center" wrapText="1"/>
    </xf>
    <xf numFmtId="0" fontId="68" fillId="7" borderId="7" applyAlignment="1" pivotButton="0" quotePrefix="0" xfId="0">
      <alignment horizontal="center" vertical="center" wrapText="1"/>
    </xf>
    <xf numFmtId="0" fontId="67" fillId="6" borderId="8" applyAlignment="1" pivotButton="0" quotePrefix="0" xfId="0">
      <alignment horizontal="left" vertical="center"/>
    </xf>
    <xf numFmtId="0" fontId="31" fillId="23" borderId="10" applyAlignment="1" pivotButton="0" quotePrefix="0" xfId="0">
      <alignment horizontal="center" vertical="center" wrapText="1"/>
    </xf>
    <xf numFmtId="0" fontId="31" fillId="23" borderId="7" applyAlignment="1" pivotButton="0" quotePrefix="0" xfId="0">
      <alignment horizontal="center" vertical="center" wrapText="1"/>
    </xf>
    <xf numFmtId="0" fontId="67" fillId="5" borderId="8" applyAlignment="1" pivotButton="0" quotePrefix="0" xfId="0">
      <alignment horizontal="left" vertical="center"/>
    </xf>
    <xf numFmtId="0" fontId="9" fillId="6" borderId="9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0" fontId="67" fillId="18" borderId="8" applyAlignment="1" pivotButton="0" quotePrefix="0" xfId="0">
      <alignment horizontal="left" vertical="center"/>
    </xf>
    <xf numFmtId="0" fontId="69" fillId="23" borderId="9" applyAlignment="1" pivotButton="0" quotePrefix="0" xfId="0">
      <alignment horizontal="center" vertical="center" wrapText="1"/>
    </xf>
    <xf numFmtId="0" fontId="67" fillId="20" borderId="8" applyAlignment="1" pivotButton="0" quotePrefix="0" xfId="0">
      <alignment horizontal="left" vertical="center"/>
    </xf>
    <xf numFmtId="0" fontId="67" fillId="4" borderId="8" applyAlignment="1" pivotButton="0" quotePrefix="0" xfId="0">
      <alignment horizontal="left" vertical="center"/>
    </xf>
    <xf numFmtId="0" fontId="67" fillId="15" borderId="8" applyAlignment="1" pivotButton="0" quotePrefix="0" xfId="0">
      <alignment horizontal="left" vertical="center"/>
    </xf>
    <xf numFmtId="0" fontId="70" fillId="3" borderId="0" applyAlignment="1" pivotButton="0" quotePrefix="0" xfId="0">
      <alignment horizontal="center" vertical="center"/>
    </xf>
    <xf numFmtId="0" fontId="71" fillId="26" borderId="7" applyAlignment="1" pivotButton="0" quotePrefix="0" xfId="0">
      <alignment horizontal="left" vertical="center"/>
    </xf>
    <xf numFmtId="0" fontId="72" fillId="5" borderId="7" applyAlignment="1" pivotButton="0" quotePrefix="0" xfId="0">
      <alignment horizontal="left" vertical="center" wrapText="1"/>
    </xf>
    <xf numFmtId="0" fontId="73" fillId="3" borderId="7" applyAlignment="1" pivotButton="0" quotePrefix="0" xfId="0">
      <alignment horizontal="left" vertical="center"/>
    </xf>
    <xf numFmtId="0" fontId="27" fillId="2" borderId="7" applyAlignment="1" pivotButton="0" quotePrefix="0" xfId="0">
      <alignment horizontal="left" vertical="center"/>
    </xf>
    <xf numFmtId="0" fontId="74" fillId="6" borderId="7" applyAlignment="1" pivotButton="0" quotePrefix="0" xfId="0">
      <alignment horizontal="left" vertical="center" wrapText="1"/>
    </xf>
    <xf numFmtId="0" fontId="27" fillId="14" borderId="7" applyAlignment="1" pivotButton="0" quotePrefix="0" xfId="0">
      <alignment horizontal="left" vertical="center"/>
    </xf>
    <xf numFmtId="0" fontId="74" fillId="23" borderId="7" applyAlignment="1" pivotButton="0" quotePrefix="0" xfId="0">
      <alignment horizontal="left" vertical="center" wrapText="1"/>
    </xf>
    <xf numFmtId="0" fontId="27" fillId="3" borderId="7" applyAlignment="1" pivotButton="0" quotePrefix="0" xfId="0">
      <alignment horizontal="left" vertical="center"/>
    </xf>
    <xf numFmtId="0" fontId="27" fillId="17" borderId="7" applyAlignment="1" pivotButton="0" quotePrefix="0" xfId="0">
      <alignment horizontal="left" vertical="center"/>
    </xf>
    <xf numFmtId="0" fontId="74" fillId="25" borderId="7" applyAlignment="1" pivotButton="0" quotePrefix="0" xfId="0">
      <alignment horizontal="left" vertical="center" wrapText="1"/>
    </xf>
    <xf numFmtId="0" fontId="60" fillId="10" borderId="7" applyAlignment="1" pivotButton="0" quotePrefix="0" xfId="0">
      <alignment horizontal="left" vertical="center"/>
    </xf>
    <xf numFmtId="0" fontId="74" fillId="27" borderId="7" applyAlignment="1" pivotButton="0" quotePrefix="0" xfId="0">
      <alignment horizontal="left" vertical="center" wrapText="1"/>
    </xf>
    <xf numFmtId="0" fontId="75" fillId="3" borderId="0" applyAlignment="1" pivotButton="0" quotePrefix="0" xfId="0">
      <alignment horizontal="center" vertical="center"/>
    </xf>
    <xf numFmtId="0" fontId="73" fillId="14" borderId="7" applyAlignment="1" pivotButton="0" quotePrefix="0" xfId="0">
      <alignment horizontal="left" vertical="center"/>
    </xf>
    <xf numFmtId="0" fontId="47" fillId="14" borderId="7" applyAlignment="1" pivotButton="0" quotePrefix="0" xfId="0">
      <alignment horizontal="center" vertical="center" wrapText="1"/>
    </xf>
    <xf numFmtId="0" fontId="5" fillId="23" borderId="8" applyAlignment="1" pivotButton="0" quotePrefix="0" xfId="0">
      <alignment horizontal="left" vertical="center"/>
    </xf>
    <xf numFmtId="0" fontId="16" fillId="23" borderId="9" applyAlignment="1" pivotButton="0" quotePrefix="0" xfId="0">
      <alignment horizontal="center" vertical="center"/>
    </xf>
    <xf numFmtId="0" fontId="43" fillId="23" borderId="9" applyAlignment="1" pivotButton="0" quotePrefix="0" xfId="0">
      <alignment horizontal="center" vertical="center"/>
    </xf>
    <xf numFmtId="0" fontId="6" fillId="23" borderId="9" applyAlignment="1" pivotButton="0" quotePrefix="0" xfId="0">
      <alignment horizontal="center" vertical="center"/>
    </xf>
    <xf numFmtId="0" fontId="76" fillId="23" borderId="10" applyAlignment="1" pivotButton="0" quotePrefix="0" xfId="0">
      <alignment horizontal="left" vertical="center" wrapText="1"/>
    </xf>
    <xf numFmtId="0" fontId="5" fillId="28" borderId="8" applyAlignment="1" pivotButton="0" quotePrefix="0" xfId="0">
      <alignment horizontal="left" vertical="center"/>
    </xf>
    <xf numFmtId="0" fontId="16" fillId="28" borderId="9" applyAlignment="1" pivotButton="0" quotePrefix="0" xfId="0">
      <alignment horizontal="center" vertical="center"/>
    </xf>
    <xf numFmtId="0" fontId="43" fillId="28" borderId="9" applyAlignment="1" pivotButton="0" quotePrefix="0" xfId="0">
      <alignment horizontal="center" vertical="center"/>
    </xf>
    <xf numFmtId="0" fontId="6" fillId="28" borderId="9" applyAlignment="1" pivotButton="0" quotePrefix="0" xfId="0">
      <alignment horizontal="center" vertical="center"/>
    </xf>
    <xf numFmtId="0" fontId="76" fillId="28" borderId="10" applyAlignment="1" pivotButton="0" quotePrefix="0" xfId="0">
      <alignment horizontal="left" vertical="center" wrapText="1"/>
    </xf>
    <xf numFmtId="0" fontId="73" fillId="11" borderId="7" applyAlignment="1" pivotButton="0" quotePrefix="0" xfId="0">
      <alignment horizontal="left" vertical="center"/>
    </xf>
    <xf numFmtId="0" fontId="41" fillId="6" borderId="7" applyAlignment="1" pivotButton="0" quotePrefix="0" xfId="0">
      <alignment horizontal="left" vertical="center"/>
    </xf>
    <xf numFmtId="0" fontId="47" fillId="11" borderId="7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left" vertical="center"/>
    </xf>
    <xf numFmtId="0" fontId="16" fillId="6" borderId="9" applyAlignment="1" pivotButton="0" quotePrefix="0" xfId="0">
      <alignment horizontal="center" vertical="center"/>
    </xf>
    <xf numFmtId="0" fontId="17" fillId="6" borderId="10" applyAlignment="1" pivotButton="0" quotePrefix="0" xfId="0">
      <alignment horizontal="left" vertical="center" wrapText="1"/>
    </xf>
    <xf numFmtId="0" fontId="5" fillId="29" borderId="8" applyAlignment="1" pivotButton="0" quotePrefix="0" xfId="0">
      <alignment horizontal="left" vertical="center"/>
    </xf>
    <xf numFmtId="0" fontId="16" fillId="29" borderId="9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17" fillId="29" borderId="10" applyAlignment="1" pivotButton="0" quotePrefix="0" xfId="0">
      <alignment horizontal="left" vertical="center" wrapText="1"/>
    </xf>
    <xf numFmtId="0" fontId="56" fillId="15" borderId="28" applyAlignment="1" pivotButton="0" quotePrefix="0" xfId="0">
      <alignment horizontal="left" vertical="top"/>
    </xf>
    <xf numFmtId="0" fontId="16" fillId="15" borderId="10" applyAlignment="1" pivotButton="0" quotePrefix="0" xfId="0">
      <alignment horizontal="left" vertical="top" wrapText="1"/>
    </xf>
    <xf numFmtId="0" fontId="59" fillId="6" borderId="28" applyAlignment="1" pivotButton="0" quotePrefix="0" xfId="0">
      <alignment horizontal="left" vertical="top"/>
    </xf>
    <xf numFmtId="0" fontId="16" fillId="6" borderId="10" applyAlignment="1" pivotButton="0" quotePrefix="0" xfId="0">
      <alignment horizontal="left" vertical="top" wrapText="1"/>
    </xf>
    <xf numFmtId="0" fontId="28" fillId="5" borderId="28" applyAlignment="1" pivotButton="0" quotePrefix="0" xfId="0">
      <alignment horizontal="left" vertical="top"/>
    </xf>
    <xf numFmtId="0" fontId="16" fillId="5" borderId="10" applyAlignment="1" pivotButton="0" quotePrefix="0" xfId="0">
      <alignment horizontal="left" vertical="top" wrapText="1"/>
    </xf>
    <xf numFmtId="0" fontId="77" fillId="20" borderId="28" applyAlignment="1" pivotButton="0" quotePrefix="0" xfId="0">
      <alignment horizontal="left" vertical="top"/>
    </xf>
    <xf numFmtId="0" fontId="16" fillId="20" borderId="10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center" vertical="center"/>
    </xf>
    <xf numFmtId="0" fontId="30" fillId="10" borderId="7" applyAlignment="1" pivotButton="0" quotePrefix="0" xfId="0">
      <alignment horizontal="left" vertical="center"/>
    </xf>
    <xf numFmtId="0" fontId="47" fillId="3" borderId="7" applyAlignment="1" pivotButton="0" quotePrefix="0" xfId="0">
      <alignment horizontal="center" vertical="center"/>
    </xf>
    <xf numFmtId="0" fontId="78" fillId="5" borderId="8" applyAlignment="1" pivotButton="0" quotePrefix="0" xfId="0">
      <alignment horizontal="center" vertical="center"/>
    </xf>
    <xf numFmtId="0" fontId="79" fillId="5" borderId="9" applyAlignment="1" pivotButton="0" quotePrefix="0" xfId="0">
      <alignment horizontal="left" vertical="center"/>
    </xf>
    <xf numFmtId="0" fontId="80" fillId="5" borderId="9" applyAlignment="1" pivotButton="0" quotePrefix="0" xfId="0">
      <alignment horizontal="center" vertical="center"/>
    </xf>
    <xf numFmtId="0" fontId="81" fillId="5" borderId="10" applyAlignment="1" pivotButton="0" quotePrefix="0" xfId="0">
      <alignment vertical="center" wrapText="1"/>
    </xf>
    <xf numFmtId="0" fontId="33" fillId="24" borderId="8" applyAlignment="1" pivotButton="0" quotePrefix="0" xfId="0">
      <alignment horizontal="center" vertical="center"/>
    </xf>
    <xf numFmtId="0" fontId="82" fillId="24" borderId="9" applyAlignment="1" pivotButton="0" quotePrefix="0" xfId="0">
      <alignment horizontal="left" vertical="center"/>
    </xf>
    <xf numFmtId="0" fontId="83" fillId="24" borderId="9" applyAlignment="1" pivotButton="0" quotePrefix="0" xfId="0">
      <alignment horizontal="center" vertical="center"/>
    </xf>
    <xf numFmtId="0" fontId="84" fillId="24" borderId="10" applyAlignment="1" pivotButton="0" quotePrefix="0" xfId="0">
      <alignment vertical="center" wrapText="1"/>
    </xf>
    <xf numFmtId="0" fontId="6" fillId="6" borderId="8" applyAlignment="1" pivotButton="0" quotePrefix="0" xfId="0">
      <alignment horizontal="center" vertical="center"/>
    </xf>
    <xf numFmtId="0" fontId="59" fillId="6" borderId="9" applyAlignment="1" pivotButton="0" quotePrefix="0" xfId="0">
      <alignment horizontal="left" vertical="center"/>
    </xf>
    <xf numFmtId="0" fontId="10" fillId="6" borderId="9" applyAlignment="1" pivotButton="0" quotePrefix="0" xfId="0">
      <alignment horizontal="center" vertical="center"/>
    </xf>
    <xf numFmtId="0" fontId="17" fillId="6" borderId="10" applyAlignment="1" pivotButton="0" quotePrefix="0" xfId="0">
      <alignment vertical="center" wrapText="1"/>
    </xf>
    <xf numFmtId="0" fontId="43" fillId="15" borderId="8" applyAlignment="1" pivotButton="0" quotePrefix="0" xfId="0">
      <alignment horizontal="center" vertical="center"/>
    </xf>
    <xf numFmtId="0" fontId="56" fillId="15" borderId="9" applyAlignment="1" pivotButton="0" quotePrefix="0" xfId="0">
      <alignment horizontal="left" vertical="center"/>
    </xf>
    <xf numFmtId="0" fontId="85" fillId="15" borderId="9" applyAlignment="1" pivotButton="0" quotePrefix="0" xfId="0">
      <alignment horizontal="center" vertical="center"/>
    </xf>
    <xf numFmtId="0" fontId="76" fillId="15" borderId="10" applyAlignment="1" pivotButton="0" quotePrefix="0" xfId="0">
      <alignment vertical="center" wrapText="1"/>
    </xf>
    <xf numFmtId="0" fontId="19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left" vertical="center"/>
    </xf>
    <xf numFmtId="0" fontId="14" fillId="4" borderId="9" applyAlignment="1" pivotButton="0" quotePrefix="0" xfId="0">
      <alignment horizontal="center" vertical="center"/>
    </xf>
    <xf numFmtId="0" fontId="26" fillId="4" borderId="10" applyAlignment="1" pivotButton="0" quotePrefix="0" xfId="0">
      <alignment vertical="center" wrapText="1"/>
    </xf>
    <xf numFmtId="0" fontId="45" fillId="20" borderId="8" applyAlignment="1" pivotButton="0" quotePrefix="0" xfId="0">
      <alignment horizontal="center" vertical="center"/>
    </xf>
    <xf numFmtId="0" fontId="77" fillId="20" borderId="9" applyAlignment="1" pivotButton="0" quotePrefix="0" xfId="0">
      <alignment horizontal="left" vertical="center"/>
    </xf>
    <xf numFmtId="0" fontId="86" fillId="20" borderId="9" applyAlignment="1" pivotButton="0" quotePrefix="0" xfId="0">
      <alignment horizontal="center" vertical="center"/>
    </xf>
    <xf numFmtId="0" fontId="87" fillId="20" borderId="10" applyAlignment="1" pivotButton="0" quotePrefix="0" xfId="0">
      <alignment vertical="center" wrapText="1"/>
    </xf>
    <xf numFmtId="0" fontId="46" fillId="30" borderId="8" applyAlignment="1" pivotButton="0" quotePrefix="0" xfId="0">
      <alignment horizontal="center" vertical="center"/>
    </xf>
    <xf numFmtId="0" fontId="88" fillId="30" borderId="9" applyAlignment="1" pivotButton="0" quotePrefix="0" xfId="0">
      <alignment horizontal="left" vertical="center"/>
    </xf>
    <xf numFmtId="0" fontId="89" fillId="30" borderId="9" applyAlignment="1" pivotButton="0" quotePrefix="0" xfId="0">
      <alignment horizontal="center" vertical="center"/>
    </xf>
    <xf numFmtId="0" fontId="90" fillId="30" borderId="10" applyAlignment="1" pivotButton="0" quotePrefix="0" xfId="0">
      <alignment vertical="center" wrapText="1"/>
    </xf>
    <xf numFmtId="0" fontId="91" fillId="12" borderId="7" applyAlignment="1" pivotButton="0" quotePrefix="0" xfId="0">
      <alignment horizontal="left" vertical="center"/>
    </xf>
    <xf numFmtId="0" fontId="92" fillId="31" borderId="8" applyAlignment="1" pivotButton="0" quotePrefix="0" xfId="0">
      <alignment horizontal="center" vertical="center"/>
    </xf>
    <xf numFmtId="0" fontId="56" fillId="31" borderId="30" applyAlignment="1" pivotButton="0" quotePrefix="0" xfId="0">
      <alignment horizontal="left" vertical="center"/>
    </xf>
    <xf numFmtId="0" fontId="16" fillId="31" borderId="10" applyAlignment="1" pivotButton="0" quotePrefix="0" xfId="0">
      <alignment horizontal="left" vertical="center" wrapText="1"/>
    </xf>
    <xf numFmtId="0" fontId="93" fillId="24" borderId="8" applyAlignment="1" pivotButton="0" quotePrefix="0" xfId="0">
      <alignment horizontal="center" vertical="center"/>
    </xf>
    <xf numFmtId="0" fontId="79" fillId="24" borderId="30" applyAlignment="1" pivotButton="0" quotePrefix="0" xfId="0">
      <alignment horizontal="left" vertical="center"/>
    </xf>
    <xf numFmtId="0" fontId="16" fillId="24" borderId="10" applyAlignment="1" pivotButton="0" quotePrefix="0" xfId="0">
      <alignment horizontal="left" vertical="center" wrapText="1"/>
    </xf>
    <xf numFmtId="0" fontId="40" fillId="6" borderId="8" applyAlignment="1" pivotButton="0" quotePrefix="0" xfId="0">
      <alignment horizontal="center" vertical="center"/>
    </xf>
    <xf numFmtId="0" fontId="59" fillId="6" borderId="30" applyAlignment="1" pivotButton="0" quotePrefix="0" xfId="0">
      <alignment horizontal="left" vertical="center"/>
    </xf>
    <xf numFmtId="0" fontId="16" fillId="6" borderId="10" applyAlignment="1" pivotButton="0" quotePrefix="0" xfId="0">
      <alignment horizontal="left" vertical="center" wrapText="1"/>
    </xf>
    <xf numFmtId="0" fontId="35" fillId="4" borderId="8" applyAlignment="1" pivotButton="0" quotePrefix="0" xfId="0">
      <alignment horizontal="center" vertical="center"/>
    </xf>
    <xf numFmtId="0" fontId="3" fillId="4" borderId="30" applyAlignment="1" pivotButton="0" quotePrefix="0" xfId="0">
      <alignment horizontal="left" vertical="center"/>
    </xf>
    <xf numFmtId="0" fontId="16" fillId="4" borderId="10" applyAlignment="1" pivotButton="0" quotePrefix="0" xfId="0">
      <alignment horizontal="left" vertical="center" wrapText="1"/>
    </xf>
    <xf numFmtId="0" fontId="94" fillId="20" borderId="8" applyAlignment="1" pivotButton="0" quotePrefix="0" xfId="0">
      <alignment horizontal="center" vertical="center"/>
    </xf>
    <xf numFmtId="0" fontId="77" fillId="20" borderId="30" applyAlignment="1" pivotButton="0" quotePrefix="0" xfId="0">
      <alignment horizontal="left" vertical="center"/>
    </xf>
    <xf numFmtId="0" fontId="16" fillId="20" borderId="10" applyAlignment="1" pivotButton="0" quotePrefix="0" xfId="0">
      <alignment horizontal="left" vertical="center" wrapText="1"/>
    </xf>
    <xf numFmtId="0" fontId="91" fillId="17" borderId="7" applyAlignment="1" pivotButton="0" quotePrefix="0" xfId="0">
      <alignment horizontal="left" vertical="center"/>
    </xf>
    <xf numFmtId="0" fontId="95" fillId="20" borderId="7" applyAlignment="1" pivotButton="0" quotePrefix="0" xfId="0">
      <alignment horizontal="left" vertical="center"/>
    </xf>
    <xf numFmtId="0" fontId="47" fillId="17" borderId="7" applyAlignment="1" pivotButton="0" quotePrefix="0" xfId="0">
      <alignment horizontal="center" vertical="center"/>
    </xf>
    <xf numFmtId="0" fontId="44" fillId="20" borderId="8" applyAlignment="1" pivotButton="0" quotePrefix="0" xfId="0">
      <alignment horizontal="center" vertical="center"/>
    </xf>
    <xf numFmtId="0" fontId="44" fillId="20" borderId="9" applyAlignment="1" pivotButton="0" quotePrefix="0" xfId="0">
      <alignment horizontal="left" vertical="center"/>
    </xf>
    <xf numFmtId="0" fontId="16" fillId="20" borderId="9" applyAlignment="1" pivotButton="0" quotePrefix="0" xfId="0">
      <alignment horizontal="center" vertical="center"/>
    </xf>
    <xf numFmtId="0" fontId="16" fillId="20" borderId="30" applyAlignment="1" pivotButton="0" quotePrefix="0" xfId="0">
      <alignment vertical="center" wrapText="1"/>
    </xf>
    <xf numFmtId="0" fontId="77" fillId="20" borderId="10" applyAlignment="1" pivotButton="0" quotePrefix="0" xfId="0">
      <alignment horizontal="center" vertical="center"/>
    </xf>
    <xf numFmtId="0" fontId="44" fillId="25" borderId="8" applyAlignment="1" pivotButton="0" quotePrefix="0" xfId="0">
      <alignment horizontal="center" vertical="center"/>
    </xf>
    <xf numFmtId="0" fontId="44" fillId="25" borderId="9" applyAlignment="1" pivotButton="0" quotePrefix="0" xfId="0">
      <alignment horizontal="left" vertical="center"/>
    </xf>
    <xf numFmtId="0" fontId="16" fillId="25" borderId="9" applyAlignment="1" pivotButton="0" quotePrefix="0" xfId="0">
      <alignment horizontal="center" vertical="center"/>
    </xf>
    <xf numFmtId="0" fontId="16" fillId="25" borderId="30" applyAlignment="1" pivotButton="0" quotePrefix="0" xfId="0">
      <alignment vertical="center" wrapText="1"/>
    </xf>
    <xf numFmtId="0" fontId="77" fillId="25" borderId="10" applyAlignment="1" pivotButton="0" quotePrefix="0" xfId="0">
      <alignment horizontal="center" vertical="center"/>
    </xf>
    <xf numFmtId="0" fontId="96" fillId="20" borderId="8" applyAlignment="1" pivotButton="0" quotePrefix="0" xfId="0">
      <alignment horizontal="center" vertical="center"/>
    </xf>
    <xf numFmtId="0" fontId="96" fillId="20" borderId="9" applyAlignment="1" pivotButton="0" quotePrefix="0" xfId="0">
      <alignment horizontal="left" vertical="center"/>
    </xf>
    <xf numFmtId="0" fontId="87" fillId="20" borderId="30" applyAlignment="1" pivotButton="0" quotePrefix="0" xfId="0">
      <alignment vertical="center" wrapText="1"/>
    </xf>
    <xf numFmtId="0" fontId="97" fillId="12" borderId="0" applyAlignment="1" pivotButton="0" quotePrefix="0" xfId="0">
      <alignment horizontal="center" vertical="center"/>
    </xf>
    <xf numFmtId="0" fontId="98" fillId="12" borderId="28" applyAlignment="1" pivotButton="0" quotePrefix="0" xfId="0">
      <alignment horizontal="left" vertical="center"/>
    </xf>
    <xf numFmtId="164" fontId="99" fillId="12" borderId="10" applyAlignment="1" pivotButton="0" quotePrefix="0" xfId="0">
      <alignment horizontal="right" vertical="center"/>
    </xf>
    <xf numFmtId="0" fontId="100" fillId="32" borderId="28" applyAlignment="1" pivotButton="0" quotePrefix="0" xfId="0">
      <alignment horizontal="left" vertical="center"/>
    </xf>
    <xf numFmtId="164" fontId="101" fillId="32" borderId="10" applyAlignment="1" pivotButton="0" quotePrefix="0" xfId="0">
      <alignment horizontal="right" vertical="center"/>
    </xf>
    <xf numFmtId="0" fontId="102" fillId="12" borderId="28" applyAlignment="1" pivotButton="0" quotePrefix="0" xfId="0">
      <alignment horizontal="left" vertical="center"/>
    </xf>
    <xf numFmtId="0" fontId="103" fillId="12" borderId="10" applyAlignment="1" pivotButton="0" quotePrefix="0" xfId="0">
      <alignment horizontal="right" vertical="center"/>
    </xf>
    <xf numFmtId="0" fontId="25" fillId="13" borderId="28" applyAlignment="1" pivotButton="0" quotePrefix="0" xfId="0">
      <alignment horizontal="left" vertical="center"/>
    </xf>
    <xf numFmtId="164" fontId="27" fillId="13" borderId="10" applyAlignment="1" pivotButton="0" quotePrefix="0" xfId="0">
      <alignment horizontal="right" vertical="center"/>
    </xf>
    <xf numFmtId="0" fontId="100" fillId="14" borderId="28" applyAlignment="1" pivotButton="0" quotePrefix="0" xfId="0">
      <alignment horizontal="left" vertical="center"/>
    </xf>
    <xf numFmtId="164" fontId="101" fillId="14" borderId="10" applyAlignment="1" pivotButton="0" quotePrefix="0" xfId="0">
      <alignment horizontal="right" vertical="center"/>
    </xf>
    <xf numFmtId="0" fontId="96" fillId="26" borderId="28" applyAlignment="1" pivotButton="0" quotePrefix="0" xfId="0">
      <alignment horizontal="left" vertical="center"/>
    </xf>
    <xf numFmtId="164" fontId="104" fillId="26" borderId="10" applyAlignment="1" pivotButton="0" quotePrefix="0" xfId="0">
      <alignment horizontal="right" vertical="center"/>
    </xf>
    <xf numFmtId="0" fontId="105" fillId="5" borderId="28" applyAlignment="1" pivotButton="0" quotePrefix="0" xfId="0">
      <alignment horizontal="left" vertical="center"/>
    </xf>
    <xf numFmtId="0" fontId="106" fillId="5" borderId="10" applyAlignment="1" pivotButton="0" quotePrefix="0" xfId="0">
      <alignment horizontal="right" vertical="center"/>
    </xf>
    <xf numFmtId="164" fontId="103" fillId="12" borderId="10" applyAlignment="1" pivotButton="0" quotePrefix="0" xfId="0">
      <alignment horizontal="right" vertical="center"/>
    </xf>
    <xf numFmtId="0" fontId="107" fillId="4" borderId="28" applyAlignment="1" pivotButton="0" quotePrefix="0" xfId="0">
      <alignment horizontal="left" vertical="center"/>
    </xf>
    <xf numFmtId="0" fontId="108" fillId="4" borderId="10" applyAlignment="1" pivotButton="0" quotePrefix="0" xfId="0">
      <alignment horizontal="right" vertical="center"/>
    </xf>
    <xf numFmtId="0" fontId="3" fillId="4" borderId="28" applyAlignment="1" pivotButton="0" quotePrefix="0" xfId="0">
      <alignment horizontal="left" vertical="center"/>
    </xf>
    <xf numFmtId="164" fontId="14" fillId="4" borderId="10" applyAlignment="1" pivotButton="0" quotePrefix="0" xfId="0">
      <alignment horizontal="right" vertical="center"/>
    </xf>
    <xf numFmtId="0" fontId="109" fillId="20" borderId="28" applyAlignment="1" pivotButton="0" quotePrefix="0" xfId="0">
      <alignment horizontal="left" vertical="center"/>
    </xf>
    <xf numFmtId="164" fontId="110" fillId="20" borderId="10" applyAlignment="1" pivotButton="0" quotePrefix="0" xfId="0">
      <alignment horizontal="right" vertical="center"/>
    </xf>
    <xf numFmtId="0" fontId="111" fillId="21" borderId="28" applyAlignment="1" pivotButton="0" quotePrefix="0" xfId="0">
      <alignment horizontal="left" vertical="center"/>
    </xf>
    <xf numFmtId="164" fontId="112" fillId="21" borderId="10" applyAlignment="1" pivotButton="0" quotePrefix="0" xfId="0">
      <alignment horizontal="right" vertical="center"/>
    </xf>
    <xf numFmtId="0" fontId="57" fillId="10" borderId="7" applyAlignment="1" pivotButton="0" quotePrefix="0" xfId="0">
      <alignment horizontal="left" vertical="center"/>
    </xf>
    <xf numFmtId="0" fontId="113" fillId="12" borderId="4" applyAlignment="1" pivotButton="0" quotePrefix="0" xfId="0">
      <alignment horizontal="center" vertical="center" wrapText="1"/>
    </xf>
    <xf numFmtId="0" fontId="113" fillId="12" borderId="5" applyAlignment="1" pivotButton="0" quotePrefix="0" xfId="0">
      <alignment horizontal="left" vertical="center" wrapText="1"/>
    </xf>
    <xf numFmtId="0" fontId="113" fillId="12" borderId="5" applyAlignment="1" pivotButton="0" quotePrefix="0" xfId="0">
      <alignment horizontal="center" vertical="center" wrapText="1"/>
    </xf>
    <xf numFmtId="0" fontId="113" fillId="12" borderId="6" applyAlignment="1" pivotButton="0" quotePrefix="0" xfId="0">
      <alignment horizontal="center" vertical="center" wrapText="1"/>
    </xf>
    <xf numFmtId="0" fontId="50" fillId="4" borderId="7" applyAlignment="1" pivotButton="0" quotePrefix="0" xfId="0">
      <alignment horizontal="center" vertical="center"/>
    </xf>
    <xf numFmtId="0" fontId="16" fillId="4" borderId="7" applyAlignment="1" pivotButton="0" quotePrefix="0" xfId="0">
      <alignment horizontal="left" vertical="center" wrapText="1"/>
    </xf>
    <xf numFmtId="0" fontId="53" fillId="4" borderId="7" applyAlignment="1" pivotButton="0" quotePrefix="0" xfId="0">
      <alignment horizontal="center" vertical="center"/>
    </xf>
    <xf numFmtId="0" fontId="15" fillId="18" borderId="7" applyAlignment="1" pivotButton="0" quotePrefix="0" xfId="0">
      <alignment horizontal="center" vertical="center"/>
    </xf>
    <xf numFmtId="0" fontId="55" fillId="4" borderId="7" applyAlignment="1" pivotButton="0" quotePrefix="0" xfId="0">
      <alignment vertical="center" wrapText="1"/>
    </xf>
    <xf numFmtId="0" fontId="50" fillId="5" borderId="7" applyAlignment="1" pivotButton="0" quotePrefix="0" xfId="0">
      <alignment horizontal="center" vertical="center"/>
    </xf>
    <xf numFmtId="0" fontId="16" fillId="5" borderId="7" applyAlignment="1" pivotButton="0" quotePrefix="0" xfId="0">
      <alignment horizontal="left" vertical="center" wrapText="1"/>
    </xf>
    <xf numFmtId="0" fontId="53" fillId="5" borderId="7" applyAlignment="1" pivotButton="0" quotePrefix="0" xfId="0">
      <alignment horizontal="center" vertical="center"/>
    </xf>
    <xf numFmtId="0" fontId="55" fillId="5" borderId="7" applyAlignment="1" pivotButton="0" quotePrefix="0" xfId="0">
      <alignment vertical="center" wrapText="1"/>
    </xf>
    <xf numFmtId="0" fontId="53" fillId="22" borderId="7" applyAlignment="1" pivotButton="0" quotePrefix="0" xfId="0">
      <alignment horizontal="center" vertical="center"/>
    </xf>
    <xf numFmtId="0" fontId="69" fillId="23" borderId="7" applyAlignment="1" pivotButton="0" quotePrefix="0" xfId="0">
      <alignment horizontal="center" vertical="center"/>
    </xf>
    <xf numFmtId="164" fontId="3" fillId="4" borderId="7" applyAlignment="1" pivotButton="0" quotePrefix="0" xfId="0">
      <alignment horizontal="right" vertical="center"/>
    </xf>
    <xf numFmtId="0" fontId="57" fillId="12" borderId="23" applyAlignment="1" pivotButton="0" quotePrefix="0" xfId="0">
      <alignment horizontal="left" vertical="center"/>
    </xf>
    <xf numFmtId="164" fontId="18" fillId="12" borderId="5" applyAlignment="1" pivotButton="0" quotePrefix="0" xfId="0">
      <alignment horizontal="right" vertical="center"/>
    </xf>
    <xf numFmtId="0" fontId="114" fillId="12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 wrapText="1"/>
    </xf>
    <xf numFmtId="0" fontId="115" fillId="25" borderId="7" applyAlignment="1" pivotButton="0" quotePrefix="0" xfId="0">
      <alignment horizontal="center" vertical="center"/>
    </xf>
    <xf numFmtId="0" fontId="116" fillId="18" borderId="7" applyAlignment="1" pivotButton="0" quotePrefix="0" xfId="0">
      <alignment horizontal="left" vertical="center"/>
    </xf>
    <xf numFmtId="0" fontId="19" fillId="4" borderId="7" applyAlignment="1" pivotButton="0" quotePrefix="0" xfId="0">
      <alignment horizontal="left" vertical="center" wrapText="1"/>
    </xf>
    <xf numFmtId="0" fontId="5" fillId="22" borderId="7" applyAlignment="1" pivotButton="0" quotePrefix="0" xfId="0">
      <alignment horizontal="left" vertical="center" wrapText="1"/>
    </xf>
    <xf numFmtId="0" fontId="25" fillId="12" borderId="23" applyAlignment="1" pivotButton="0" quotePrefix="0" xfId="0">
      <alignment horizontal="left" vertical="center"/>
    </xf>
    <xf numFmtId="164" fontId="27" fillId="12" borderId="5" applyAlignment="1" pivotButton="0" quotePrefix="0" xfId="0">
      <alignment horizontal="right" vertical="center"/>
    </xf>
    <xf numFmtId="0" fontId="117" fillId="12" borderId="6" applyAlignment="1" pivotButton="0" quotePrefix="0" xfId="0">
      <alignment horizontal="left" vertical="center"/>
    </xf>
    <xf numFmtId="0" fontId="118" fillId="12" borderId="26" applyAlignment="1" pivotButton="0" quotePrefix="0" xfId="0">
      <alignment horizontal="left" vertical="center"/>
    </xf>
    <xf numFmtId="164" fontId="97" fillId="12" borderId="13" applyAlignment="1" pivotButton="0" quotePrefix="0" xfId="0">
      <alignment horizontal="right" vertical="center"/>
    </xf>
    <xf numFmtId="0" fontId="119" fillId="12" borderId="14" applyAlignment="1" pivotButton="0" quotePrefix="0" xfId="0">
      <alignment horizontal="left" vertical="center"/>
    </xf>
    <xf numFmtId="0" fontId="25" fillId="14" borderId="7" applyAlignment="1" pivotButton="0" quotePrefix="0" xfId="0">
      <alignment horizontal="left" vertical="center"/>
    </xf>
    <xf numFmtId="0" fontId="120" fillId="15" borderId="7" applyAlignment="1" pivotButton="0" quotePrefix="0" xfId="0">
      <alignment horizontal="left" vertical="center" wrapText="1"/>
    </xf>
    <xf numFmtId="0" fontId="121" fillId="11" borderId="0" applyAlignment="1" pivotButton="0" quotePrefix="0" xfId="0">
      <alignment horizontal="center" vertical="center"/>
    </xf>
    <xf numFmtId="0" fontId="122" fillId="11" borderId="28" applyAlignment="1" pivotButton="0" quotePrefix="0" xfId="0">
      <alignment horizontal="left" vertical="center"/>
    </xf>
    <xf numFmtId="164" fontId="123" fillId="11" borderId="10" applyAlignment="1" pivotButton="0" quotePrefix="0" xfId="0">
      <alignment horizontal="right" vertical="center"/>
    </xf>
    <xf numFmtId="0" fontId="124" fillId="11" borderId="4" applyAlignment="1" pivotButton="0" quotePrefix="0" xfId="0">
      <alignment horizontal="center" vertical="center" wrapText="1"/>
    </xf>
    <xf numFmtId="0" fontId="124" fillId="11" borderId="5" applyAlignment="1" pivotButton="0" quotePrefix="0" xfId="0">
      <alignment horizontal="left" vertical="center" wrapText="1"/>
    </xf>
    <xf numFmtId="0" fontId="124" fillId="11" borderId="5" applyAlignment="1" pivotButton="0" quotePrefix="0" xfId="0">
      <alignment horizontal="center" vertical="center" wrapText="1"/>
    </xf>
    <xf numFmtId="0" fontId="124" fillId="11" borderId="6" applyAlignment="1" pivotButton="0" quotePrefix="0" xfId="0">
      <alignment horizontal="center" vertical="center" wrapText="1"/>
    </xf>
    <xf numFmtId="0" fontId="53" fillId="6" borderId="7" applyAlignment="1" pivotButton="0" quotePrefix="0" xfId="0">
      <alignment horizontal="center" vertical="center"/>
    </xf>
    <xf numFmtId="0" fontId="57" fillId="11" borderId="23" applyAlignment="1" pivotButton="0" quotePrefix="0" xfId="0">
      <alignment horizontal="left" vertical="center"/>
    </xf>
    <xf numFmtId="164" fontId="18" fillId="11" borderId="5" applyAlignment="1" pivotButton="0" quotePrefix="0" xfId="0">
      <alignment horizontal="right" vertical="center"/>
    </xf>
    <xf numFmtId="0" fontId="114" fillId="11" borderId="6" applyAlignment="1" pivotButton="0" quotePrefix="0" xfId="0">
      <alignment horizontal="center" vertical="center"/>
    </xf>
    <xf numFmtId="0" fontId="125" fillId="11" borderId="26" applyAlignment="1" pivotButton="0" quotePrefix="0" xfId="0">
      <alignment horizontal="left" vertical="center"/>
    </xf>
    <xf numFmtId="164" fontId="121" fillId="11" borderId="13" applyAlignment="1" pivotButton="0" quotePrefix="0" xfId="0">
      <alignment horizontal="right" vertical="center"/>
    </xf>
    <xf numFmtId="0" fontId="126" fillId="11" borderId="14" applyAlignment="1" pivotButton="0" quotePrefix="0" xfId="0">
      <alignment horizontal="left" vertical="center"/>
    </xf>
    <xf numFmtId="0" fontId="127" fillId="33" borderId="0" applyAlignment="1" pivotButton="0" quotePrefix="0" xfId="0">
      <alignment horizontal="center" vertical="center"/>
    </xf>
    <xf numFmtId="0" fontId="128" fillId="33" borderId="28" applyAlignment="1" pivotButton="0" quotePrefix="0" xfId="0">
      <alignment horizontal="left" vertical="center"/>
    </xf>
    <xf numFmtId="164" fontId="129" fillId="33" borderId="10" applyAlignment="1" pivotButton="0" quotePrefix="0" xfId="0">
      <alignment horizontal="right" vertical="center"/>
    </xf>
    <xf numFmtId="0" fontId="130" fillId="33" borderId="4" applyAlignment="1" pivotButton="0" quotePrefix="0" xfId="0">
      <alignment horizontal="center" vertical="center" wrapText="1"/>
    </xf>
    <xf numFmtId="0" fontId="130" fillId="33" borderId="5" applyAlignment="1" pivotButton="0" quotePrefix="0" xfId="0">
      <alignment horizontal="left" vertical="center" wrapText="1"/>
    </xf>
    <xf numFmtId="0" fontId="130" fillId="33" borderId="5" applyAlignment="1" pivotButton="0" quotePrefix="0" xfId="0">
      <alignment horizontal="center" vertical="center" wrapText="1"/>
    </xf>
    <xf numFmtId="0" fontId="130" fillId="33" borderId="6" applyAlignment="1" pivotButton="0" quotePrefix="0" xfId="0">
      <alignment horizontal="center" vertical="center" wrapText="1"/>
    </xf>
    <xf numFmtId="0" fontId="57" fillId="33" borderId="23" applyAlignment="1" pivotButton="0" quotePrefix="0" xfId="0">
      <alignment horizontal="left" vertical="center"/>
    </xf>
    <xf numFmtId="164" fontId="18" fillId="33" borderId="5" applyAlignment="1" pivotButton="0" quotePrefix="0" xfId="0">
      <alignment horizontal="right" vertical="center"/>
    </xf>
    <xf numFmtId="0" fontId="114" fillId="33" borderId="6" applyAlignment="1" pivotButton="0" quotePrefix="0" xfId="0">
      <alignment horizontal="center" vertical="center"/>
    </xf>
    <xf numFmtId="0" fontId="5" fillId="5" borderId="7" applyAlignment="1" pivotButton="0" quotePrefix="0" xfId="0">
      <alignment horizontal="left" vertical="center" wrapText="1"/>
    </xf>
    <xf numFmtId="0" fontId="131" fillId="34" borderId="7" applyAlignment="1" pivotButton="0" quotePrefix="0" xfId="0">
      <alignment horizontal="center" vertical="center"/>
    </xf>
    <xf numFmtId="0" fontId="132" fillId="33" borderId="26" applyAlignment="1" pivotButton="0" quotePrefix="0" xfId="0">
      <alignment horizontal="left" vertical="center"/>
    </xf>
    <xf numFmtId="164" fontId="127" fillId="33" borderId="13" applyAlignment="1" pivotButton="0" quotePrefix="0" xfId="0">
      <alignment horizontal="right" vertical="center"/>
    </xf>
    <xf numFmtId="0" fontId="133" fillId="33" borderId="14" applyAlignment="1" pivotButton="0" quotePrefix="0" xfId="0">
      <alignment horizontal="left" vertical="center"/>
    </xf>
    <xf numFmtId="0" fontId="134" fillId="35" borderId="0" applyAlignment="1" pivotButton="0" quotePrefix="0" xfId="0">
      <alignment horizontal="center" vertical="center"/>
    </xf>
    <xf numFmtId="0" fontId="135" fillId="35" borderId="28" applyAlignment="1" pivotButton="0" quotePrefix="0" xfId="0">
      <alignment horizontal="left" vertical="center"/>
    </xf>
    <xf numFmtId="164" fontId="136" fillId="35" borderId="10" applyAlignment="1" pivotButton="0" quotePrefix="0" xfId="0">
      <alignment horizontal="right" vertical="center"/>
    </xf>
    <xf numFmtId="0" fontId="137" fillId="35" borderId="4" applyAlignment="1" pivotButton="0" quotePrefix="0" xfId="0">
      <alignment horizontal="center" vertical="center" wrapText="1"/>
    </xf>
    <xf numFmtId="0" fontId="137" fillId="35" borderId="5" applyAlignment="1" pivotButton="0" quotePrefix="0" xfId="0">
      <alignment horizontal="left" vertical="center" wrapText="1"/>
    </xf>
    <xf numFmtId="0" fontId="137" fillId="35" borderId="5" applyAlignment="1" pivotButton="0" quotePrefix="0" xfId="0">
      <alignment horizontal="center" vertical="center" wrapText="1"/>
    </xf>
    <xf numFmtId="0" fontId="137" fillId="35" borderId="6" applyAlignment="1" pivotButton="0" quotePrefix="0" xfId="0">
      <alignment horizontal="center" vertical="center" wrapText="1"/>
    </xf>
    <xf numFmtId="0" fontId="57" fillId="35" borderId="23" applyAlignment="1" pivotButton="0" quotePrefix="0" xfId="0">
      <alignment horizontal="left" vertical="center"/>
    </xf>
    <xf numFmtId="164" fontId="18" fillId="35" borderId="5" applyAlignment="1" pivotButton="0" quotePrefix="0" xfId="0">
      <alignment horizontal="right" vertical="center"/>
    </xf>
    <xf numFmtId="0" fontId="114" fillId="35" borderId="6" applyAlignment="1" pivotButton="0" quotePrefix="0" xfId="0">
      <alignment horizontal="center" vertical="center"/>
    </xf>
    <xf numFmtId="0" fontId="138" fillId="35" borderId="26" applyAlignment="1" pivotButton="0" quotePrefix="0" xfId="0">
      <alignment horizontal="left" vertical="center"/>
    </xf>
    <xf numFmtId="164" fontId="134" fillId="35" borderId="13" applyAlignment="1" pivotButton="0" quotePrefix="0" xfId="0">
      <alignment horizontal="right" vertical="center"/>
    </xf>
    <xf numFmtId="0" fontId="139" fillId="35" borderId="14" applyAlignment="1" pivotButton="0" quotePrefix="0" xfId="0">
      <alignment horizontal="left" vertical="center"/>
    </xf>
    <xf numFmtId="0" fontId="140" fillId="14" borderId="0" applyAlignment="1" pivotButton="0" quotePrefix="0" xfId="0">
      <alignment horizontal="center" vertical="center"/>
    </xf>
    <xf numFmtId="0" fontId="141" fillId="14" borderId="0" applyAlignment="1" pivotButton="0" quotePrefix="0" xfId="0">
      <alignment horizontal="center" vertical="center"/>
    </xf>
    <xf numFmtId="0" fontId="142" fillId="15" borderId="28" applyAlignment="1" pivotButton="0" quotePrefix="0" xfId="0">
      <alignment horizontal="left" vertical="center"/>
    </xf>
    <xf numFmtId="0" fontId="58" fillId="15" borderId="10" applyAlignment="1" pivotButton="0" quotePrefix="0" xfId="0">
      <alignment horizontal="left" vertical="center"/>
    </xf>
    <xf numFmtId="0" fontId="143" fillId="14" borderId="28" applyAlignment="1" pivotButton="0" quotePrefix="0" xfId="0">
      <alignment horizontal="left" vertical="center"/>
    </xf>
    <xf numFmtId="164" fontId="144" fillId="14" borderId="10" applyAlignment="1" pivotButton="0" quotePrefix="0" xfId="0">
      <alignment horizontal="right" vertical="center"/>
    </xf>
    <xf numFmtId="0" fontId="25" fillId="32" borderId="28" applyAlignment="1" pivotButton="0" quotePrefix="0" xfId="0">
      <alignment horizontal="left" vertical="center"/>
    </xf>
    <xf numFmtId="164" fontId="27" fillId="32" borderId="10" applyAlignment="1" pivotButton="0" quotePrefix="0" xfId="0">
      <alignment horizontal="right" vertical="center"/>
    </xf>
    <xf numFmtId="0" fontId="145" fillId="14" borderId="4" applyAlignment="1" pivotButton="0" quotePrefix="0" xfId="0">
      <alignment horizontal="center" vertical="center" wrapText="1"/>
    </xf>
    <xf numFmtId="0" fontId="145" fillId="14" borderId="5" applyAlignment="1" pivotButton="0" quotePrefix="0" xfId="0">
      <alignment horizontal="left" vertical="center" wrapText="1"/>
    </xf>
    <xf numFmtId="0" fontId="145" fillId="14" borderId="5" applyAlignment="1" pivotButton="0" quotePrefix="0" xfId="0">
      <alignment horizontal="center" vertical="center" wrapText="1"/>
    </xf>
    <xf numFmtId="0" fontId="145" fillId="14" borderId="6" applyAlignment="1" pivotButton="0" quotePrefix="0" xfId="0">
      <alignment horizontal="center" vertical="center" wrapText="1"/>
    </xf>
    <xf numFmtId="0" fontId="50" fillId="23" borderId="7" applyAlignment="1" pivotButton="0" quotePrefix="0" xfId="0">
      <alignment horizontal="center" vertical="center"/>
    </xf>
    <xf numFmtId="0" fontId="16" fillId="23" borderId="7" applyAlignment="1" pivotButton="0" quotePrefix="0" xfId="0">
      <alignment horizontal="left" vertical="center" wrapText="1"/>
    </xf>
    <xf numFmtId="0" fontId="16" fillId="23" borderId="7" applyAlignment="1" pivotButton="0" quotePrefix="0" xfId="0">
      <alignment horizontal="center" vertical="center"/>
    </xf>
    <xf numFmtId="0" fontId="55" fillId="23" borderId="7" applyAlignment="1" pivotButton="0" quotePrefix="0" xfId="0">
      <alignment vertical="center" wrapText="1"/>
    </xf>
    <xf numFmtId="0" fontId="26" fillId="4" borderId="7" applyAlignment="1" pivotButton="0" quotePrefix="0" xfId="0">
      <alignment horizontal="left" vertical="center" wrapText="1"/>
    </xf>
    <xf numFmtId="0" fontId="16" fillId="4" borderId="7" applyAlignment="1" pivotButton="0" quotePrefix="0" xfId="0">
      <alignment horizontal="center" vertical="center"/>
    </xf>
    <xf numFmtId="0" fontId="143" fillId="14" borderId="23" applyAlignment="1" pivotButton="0" quotePrefix="0" xfId="0">
      <alignment horizontal="left" vertical="center"/>
    </xf>
    <xf numFmtId="164" fontId="144" fillId="14" borderId="5" applyAlignment="1" pivotButton="0" quotePrefix="0" xfId="0">
      <alignment horizontal="right" vertical="center"/>
    </xf>
    <xf numFmtId="0" fontId="146" fillId="14" borderId="6" applyAlignment="1" pivotButton="0" quotePrefix="0" xfId="0">
      <alignment horizontal="left" vertical="center"/>
    </xf>
    <xf numFmtId="0" fontId="5" fillId="23" borderId="7" applyAlignment="1" pivotButton="0" quotePrefix="0" xfId="0">
      <alignment horizontal="left" vertical="center" wrapText="1"/>
    </xf>
    <xf numFmtId="0" fontId="140" fillId="14" borderId="26" applyAlignment="1" pivotButton="0" quotePrefix="0" xfId="0">
      <alignment horizontal="left" vertical="center"/>
    </xf>
    <xf numFmtId="164" fontId="147" fillId="14" borderId="13" applyAlignment="1" pivotButton="0" quotePrefix="0" xfId="0">
      <alignment horizontal="right" vertical="center"/>
    </xf>
    <xf numFmtId="0" fontId="148" fillId="14" borderId="14" applyAlignment="1" pivotButton="0" quotePrefix="0" xfId="0">
      <alignment horizontal="left" vertical="center"/>
    </xf>
    <xf numFmtId="0" fontId="149" fillId="17" borderId="0" applyAlignment="1" pivotButton="0" quotePrefix="0" xfId="0">
      <alignment horizontal="center" vertical="center"/>
    </xf>
    <xf numFmtId="0" fontId="150" fillId="17" borderId="28" applyAlignment="1" pivotButton="0" quotePrefix="0" xfId="0">
      <alignment horizontal="left" vertical="center"/>
    </xf>
    <xf numFmtId="164" fontId="151" fillId="17" borderId="10" applyAlignment="1" pivotButton="0" quotePrefix="0" xfId="0">
      <alignment horizontal="right" vertical="center"/>
    </xf>
    <xf numFmtId="0" fontId="152" fillId="17" borderId="4" applyAlignment="1" pivotButton="0" quotePrefix="0" xfId="0">
      <alignment horizontal="center" vertical="center" wrapText="1"/>
    </xf>
    <xf numFmtId="0" fontId="152" fillId="17" borderId="5" applyAlignment="1" pivotButton="0" quotePrefix="0" xfId="0">
      <alignment horizontal="left" vertical="center" wrapText="1"/>
    </xf>
    <xf numFmtId="0" fontId="152" fillId="17" borderId="5" applyAlignment="1" pivotButton="0" quotePrefix="0" xfId="0">
      <alignment horizontal="center" vertical="center" wrapText="1"/>
    </xf>
    <xf numFmtId="0" fontId="152" fillId="17" borderId="6" applyAlignment="1" pivotButton="0" quotePrefix="0" xfId="0">
      <alignment horizontal="center" vertical="center" wrapText="1"/>
    </xf>
    <xf numFmtId="0" fontId="50" fillId="25" borderId="7" applyAlignment="1" pivotButton="0" quotePrefix="0" xfId="0">
      <alignment horizontal="center" vertical="center"/>
    </xf>
    <xf numFmtId="0" fontId="16" fillId="25" borderId="7" applyAlignment="1" pivotButton="0" quotePrefix="0" xfId="0">
      <alignment horizontal="left" vertical="center" wrapText="1"/>
    </xf>
    <xf numFmtId="0" fontId="16" fillId="25" borderId="7" applyAlignment="1" pivotButton="0" quotePrefix="0" xfId="0">
      <alignment horizontal="center" vertical="center"/>
    </xf>
    <xf numFmtId="0" fontId="55" fillId="25" borderId="7" applyAlignment="1" pivotButton="0" quotePrefix="0" xfId="0">
      <alignment vertical="center" wrapText="1"/>
    </xf>
    <xf numFmtId="0" fontId="150" fillId="17" borderId="23" applyAlignment="1" pivotButton="0" quotePrefix="0" xfId="0">
      <alignment horizontal="left" vertical="center"/>
    </xf>
    <xf numFmtId="164" fontId="151" fillId="17" borderId="5" applyAlignment="1" pivotButton="0" quotePrefix="0" xfId="0">
      <alignment horizontal="right" vertical="center"/>
    </xf>
    <xf numFmtId="0" fontId="153" fillId="17" borderId="6" applyAlignment="1" pivotButton="0" quotePrefix="0" xfId="0">
      <alignment horizontal="left" vertical="center"/>
    </xf>
    <xf numFmtId="0" fontId="5" fillId="25" borderId="7" applyAlignment="1" pivotButton="0" quotePrefix="0" xfId="0">
      <alignment horizontal="left" vertical="center" wrapText="1"/>
    </xf>
    <xf numFmtId="0" fontId="149" fillId="17" borderId="26" applyAlignment="1" pivotButton="0" quotePrefix="0" xfId="0">
      <alignment horizontal="left" vertical="center"/>
    </xf>
    <xf numFmtId="164" fontId="154" fillId="17" borderId="13" applyAlignment="1" pivotButton="0" quotePrefix="0" xfId="0">
      <alignment horizontal="right" vertical="center"/>
    </xf>
    <xf numFmtId="0" fontId="155" fillId="17" borderId="14" applyAlignment="1" pivotButton="0" quotePrefix="0" xfId="0">
      <alignment horizontal="left" vertical="center"/>
    </xf>
    <xf numFmtId="0" fontId="138" fillId="35" borderId="0" applyAlignment="1" pivotButton="0" quotePrefix="0" xfId="0">
      <alignment horizontal="center" vertical="center"/>
    </xf>
    <xf numFmtId="0" fontId="141" fillId="11" borderId="0" applyAlignment="1" pivotButton="0" quotePrefix="0" xfId="0">
      <alignment horizontal="center" vertical="center"/>
    </xf>
    <xf numFmtId="0" fontId="51" fillId="6" borderId="28" applyAlignment="1" pivotButton="0" quotePrefix="0" xfId="0">
      <alignment horizontal="left" vertical="center"/>
    </xf>
    <xf numFmtId="0" fontId="41" fillId="6" borderId="10" applyAlignment="1" pivotButton="0" quotePrefix="0" xfId="0">
      <alignment horizontal="left" vertical="center"/>
    </xf>
    <xf numFmtId="0" fontId="135" fillId="35" borderId="23" applyAlignment="1" pivotButton="0" quotePrefix="0" xfId="0">
      <alignment horizontal="left" vertical="center"/>
    </xf>
    <xf numFmtId="164" fontId="136" fillId="35" borderId="5" applyAlignment="1" pivotButton="0" quotePrefix="0" xfId="0">
      <alignment horizontal="right" vertical="center"/>
    </xf>
    <xf numFmtId="0" fontId="156" fillId="35" borderId="6" applyAlignment="1" pivotButton="0" quotePrefix="0" xfId="0">
      <alignment horizontal="left" vertical="center"/>
    </xf>
    <xf numFmtId="0" fontId="25" fillId="11" borderId="7" applyAlignment="1" pivotButton="0" quotePrefix="0" xfId="0">
      <alignment horizontal="left" vertical="center"/>
    </xf>
    <xf numFmtId="0" fontId="120" fillId="6" borderId="7" applyAlignment="1" pivotButton="0" quotePrefix="0" xfId="0">
      <alignment horizontal="left" vertical="center" wrapText="1"/>
    </xf>
    <xf numFmtId="0" fontId="157" fillId="11" borderId="0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 wrapText="1"/>
    </xf>
    <xf numFmtId="0" fontId="16" fillId="36" borderId="8" applyAlignment="1" pivotButton="0" quotePrefix="0" xfId="0">
      <alignment horizontal="center" vertical="center"/>
    </xf>
    <xf numFmtId="0" fontId="6" fillId="36" borderId="9" applyAlignment="1" pivotButton="0" quotePrefix="0" xfId="0">
      <alignment horizontal="left" vertical="center"/>
    </xf>
    <xf numFmtId="0" fontId="16" fillId="36" borderId="9" applyAlignment="1" pivotButton="0" quotePrefix="0" xfId="0">
      <alignment horizontal="center" vertical="center"/>
    </xf>
    <xf numFmtId="0" fontId="16" fillId="36" borderId="10" applyAlignment="1" pivotButton="0" quotePrefix="0" xfId="0">
      <alignment horizontal="left" vertical="center"/>
    </xf>
    <xf numFmtId="0" fontId="16" fillId="6" borderId="8" applyAlignment="1" pivotButton="0" quotePrefix="0" xfId="0">
      <alignment horizontal="center" vertical="center"/>
    </xf>
    <xf numFmtId="0" fontId="16" fillId="6" borderId="10" applyAlignment="1" pivotButton="0" quotePrefix="0" xfId="0">
      <alignment horizontal="left" vertical="center"/>
    </xf>
    <xf numFmtId="0" fontId="16" fillId="37" borderId="8" applyAlignment="1" pivotButton="0" quotePrefix="0" xfId="0">
      <alignment horizontal="center" vertical="center"/>
    </xf>
    <xf numFmtId="0" fontId="6" fillId="37" borderId="9" applyAlignment="1" pivotButton="0" quotePrefix="0" xfId="0">
      <alignment horizontal="left" vertical="center"/>
    </xf>
    <xf numFmtId="0" fontId="16" fillId="37" borderId="9" applyAlignment="1" pivotButton="0" quotePrefix="0" xfId="0">
      <alignment horizontal="center" vertical="center"/>
    </xf>
    <xf numFmtId="0" fontId="16" fillId="37" borderId="10" applyAlignment="1" pivotButton="0" quotePrefix="0" xfId="0">
      <alignment horizontal="left" vertical="center"/>
    </xf>
    <xf numFmtId="0" fontId="16" fillId="38" borderId="8" applyAlignment="1" pivotButton="0" quotePrefix="0" xfId="0">
      <alignment horizontal="center" vertical="center"/>
    </xf>
    <xf numFmtId="0" fontId="6" fillId="38" borderId="9" applyAlignment="1" pivotButton="0" quotePrefix="0" xfId="0">
      <alignment horizontal="left" vertical="center"/>
    </xf>
    <xf numFmtId="0" fontId="16" fillId="38" borderId="9" applyAlignment="1" pivotButton="0" quotePrefix="0" xfId="0">
      <alignment horizontal="center" vertical="center"/>
    </xf>
    <xf numFmtId="0" fontId="16" fillId="38" borderId="10" applyAlignment="1" pivotButton="0" quotePrefix="0" xfId="0">
      <alignment horizontal="left" vertical="center"/>
    </xf>
    <xf numFmtId="0" fontId="16" fillId="8" borderId="8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/>
    </xf>
    <xf numFmtId="0" fontId="16" fillId="8" borderId="9" applyAlignment="1" pivotButton="0" quotePrefix="0" xfId="0">
      <alignment horizontal="center" vertical="center"/>
    </xf>
    <xf numFmtId="0" fontId="16" fillId="8" borderId="10" applyAlignment="1" pivotButton="0" quotePrefix="0" xfId="0">
      <alignment horizontal="left" vertical="center"/>
    </xf>
    <xf numFmtId="0" fontId="16" fillId="39" borderId="8" applyAlignment="1" pivotButton="0" quotePrefix="0" xfId="0">
      <alignment horizontal="center" vertical="center"/>
    </xf>
    <xf numFmtId="0" fontId="6" fillId="39" borderId="9" applyAlignment="1" pivotButton="0" quotePrefix="0" xfId="0">
      <alignment horizontal="left" vertical="center"/>
    </xf>
    <xf numFmtId="0" fontId="16" fillId="39" borderId="9" applyAlignment="1" pivotButton="0" quotePrefix="0" xfId="0">
      <alignment horizontal="center" vertical="center"/>
    </xf>
    <xf numFmtId="0" fontId="16" fillId="39" borderId="10" applyAlignment="1" pivotButton="0" quotePrefix="0" xfId="0">
      <alignment horizontal="left" vertical="center"/>
    </xf>
    <xf numFmtId="0" fontId="16" fillId="40" borderId="8" applyAlignment="1" pivotButton="0" quotePrefix="0" xfId="0">
      <alignment horizontal="center" vertical="center"/>
    </xf>
    <xf numFmtId="0" fontId="6" fillId="40" borderId="9" applyAlignment="1" pivotButton="0" quotePrefix="0" xfId="0">
      <alignment horizontal="left" vertical="center"/>
    </xf>
    <xf numFmtId="0" fontId="16" fillId="40" borderId="9" applyAlignment="1" pivotButton="0" quotePrefix="0" xfId="0">
      <alignment horizontal="center" vertical="center"/>
    </xf>
    <xf numFmtId="0" fontId="16" fillId="40" borderId="10" applyAlignment="1" pivotButton="0" quotePrefix="0" xfId="0">
      <alignment horizontal="left" vertical="center"/>
    </xf>
    <xf numFmtId="0" fontId="25" fillId="11" borderId="28" applyAlignment="1" pivotButton="0" quotePrefix="0" xfId="0">
      <alignment horizontal="left" vertical="center"/>
    </xf>
    <xf numFmtId="164" fontId="27" fillId="11" borderId="10" applyAlignment="1" pivotButton="0" quotePrefix="0" xfId="0">
      <alignment horizontal="right" vertical="center"/>
    </xf>
    <xf numFmtId="0" fontId="8" fillId="11" borderId="4" applyAlignment="1" pivotButton="0" quotePrefix="0" xfId="0">
      <alignment horizontal="center" vertical="center"/>
    </xf>
    <xf numFmtId="0" fontId="8" fillId="11" borderId="5" applyAlignment="1" pivotButton="0" quotePrefix="0" xfId="0">
      <alignment horizontal="left" vertical="center"/>
    </xf>
    <xf numFmtId="0" fontId="8" fillId="11" borderId="5" applyAlignment="1" pivotButton="0" quotePrefix="0" xfId="0">
      <alignment horizontal="center" vertical="center"/>
    </xf>
    <xf numFmtId="0" fontId="8" fillId="11" borderId="6" applyAlignment="1" pivotButton="0" quotePrefix="0" xfId="0">
      <alignment horizontal="center" vertical="center"/>
    </xf>
    <xf numFmtId="0" fontId="50" fillId="6" borderId="9" applyAlignment="1" pivotButton="0" quotePrefix="0" xfId="0">
      <alignment horizontal="center" vertical="center"/>
    </xf>
    <xf numFmtId="164" fontId="53" fillId="23" borderId="9" applyAlignment="1" pivotButton="0" quotePrefix="0" xfId="0">
      <alignment horizontal="right" vertical="center"/>
    </xf>
    <xf numFmtId="164" fontId="54" fillId="5" borderId="9" applyAlignment="1" pivotButton="0" quotePrefix="0" xfId="0">
      <alignment horizontal="right" vertical="center"/>
    </xf>
    <xf numFmtId="0" fontId="55" fillId="6" borderId="10" applyAlignment="1" pivotButton="0" quotePrefix="0" xfId="0">
      <alignment vertical="center" wrapText="1"/>
    </xf>
    <xf numFmtId="0" fontId="16" fillId="22" borderId="9" applyAlignment="1" pivotButton="0" quotePrefix="0" xfId="0">
      <alignment horizontal="left" vertical="center" wrapText="1"/>
    </xf>
    <xf numFmtId="0" fontId="16" fillId="22" borderId="9" applyAlignment="1" pivotButton="0" quotePrefix="0" xfId="0">
      <alignment horizontal="center" vertical="center"/>
    </xf>
    <xf numFmtId="0" fontId="50" fillId="22" borderId="9" applyAlignment="1" pivotButton="0" quotePrefix="0" xfId="0">
      <alignment horizontal="center" vertical="center"/>
    </xf>
    <xf numFmtId="0" fontId="55" fillId="22" borderId="10" applyAlignment="1" pivotButton="0" quotePrefix="0" xfId="0">
      <alignment vertical="center" wrapText="1"/>
    </xf>
    <xf numFmtId="0" fontId="50" fillId="4" borderId="8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50" fillId="4" borderId="9" applyAlignment="1" pivotButton="0" quotePrefix="0" xfId="0">
      <alignment horizontal="center" vertical="center"/>
    </xf>
    <xf numFmtId="164" fontId="3" fillId="4" borderId="9" applyAlignment="1" pivotButton="0" quotePrefix="0" xfId="0">
      <alignment horizontal="right" vertical="center"/>
    </xf>
    <xf numFmtId="0" fontId="55" fillId="4" borderId="10" applyAlignment="1" pivotButton="0" quotePrefix="0" xfId="0">
      <alignment vertical="center" wrapText="1"/>
    </xf>
    <xf numFmtId="0" fontId="27" fillId="11" borderId="26" applyAlignment="1" pivotButton="0" quotePrefix="0" xfId="0">
      <alignment horizontal="left" vertical="center"/>
    </xf>
    <xf numFmtId="164" fontId="73" fillId="11" borderId="13" applyAlignment="1" pivotButton="0" quotePrefix="0" xfId="0">
      <alignment horizontal="right" vertical="center"/>
    </xf>
    <xf numFmtId="0" fontId="158" fillId="11" borderId="14" applyAlignment="1" pivotButton="0" quotePrefix="0" xfId="0">
      <alignment horizontal="left" vertical="center"/>
    </xf>
    <xf numFmtId="0" fontId="47" fillId="11" borderId="4" applyAlignment="1" pivotButton="0" quotePrefix="0" xfId="0">
      <alignment horizontal="center" vertical="center"/>
    </xf>
    <xf numFmtId="0" fontId="47" fillId="11" borderId="5" applyAlignment="1" pivotButton="0" quotePrefix="0" xfId="0">
      <alignment horizontal="center" vertical="center"/>
    </xf>
    <xf numFmtId="0" fontId="47" fillId="11" borderId="6" applyAlignment="1" pivotButton="0" quotePrefix="0" xfId="0">
      <alignment horizontal="center" vertical="center"/>
    </xf>
    <xf numFmtId="0" fontId="6" fillId="6" borderId="8" applyAlignment="1" pivotButton="0" quotePrefix="0" xfId="0">
      <alignment horizontal="left" vertical="center" wrapText="1"/>
    </xf>
    <xf numFmtId="0" fontId="43" fillId="6" borderId="9" applyAlignment="1" pivotButton="0" quotePrefix="0" xfId="0">
      <alignment horizontal="center" vertical="center"/>
    </xf>
    <xf numFmtId="0" fontId="16" fillId="6" borderId="10" applyAlignment="1" pivotButton="0" quotePrefix="0" xfId="0">
      <alignment vertical="center" wrapText="1"/>
    </xf>
    <xf numFmtId="0" fontId="6" fillId="37" borderId="8" applyAlignment="1" pivotButton="0" quotePrefix="0" xfId="0">
      <alignment horizontal="left" vertical="center" wrapText="1"/>
    </xf>
    <xf numFmtId="0" fontId="16" fillId="37" borderId="9" applyAlignment="1" pivotButton="0" quotePrefix="0" xfId="0">
      <alignment horizontal="left" vertical="center" wrapText="1"/>
    </xf>
    <xf numFmtId="0" fontId="43" fillId="37" borderId="9" applyAlignment="1" pivotButton="0" quotePrefix="0" xfId="0">
      <alignment horizontal="center" vertical="center"/>
    </xf>
    <xf numFmtId="0" fontId="16" fillId="37" borderId="10" applyAlignment="1" pivotButton="0" quotePrefix="0" xfId="0">
      <alignment vertical="center" wrapText="1"/>
    </xf>
    <xf numFmtId="0" fontId="6" fillId="36" borderId="8" applyAlignment="1" pivotButton="0" quotePrefix="0" xfId="0">
      <alignment horizontal="left" vertical="center" wrapText="1"/>
    </xf>
    <xf numFmtId="0" fontId="16" fillId="36" borderId="9" applyAlignment="1" pivotButton="0" quotePrefix="0" xfId="0">
      <alignment horizontal="left" vertical="center" wrapText="1"/>
    </xf>
    <xf numFmtId="0" fontId="43" fillId="36" borderId="9" applyAlignment="1" pivotButton="0" quotePrefix="0" xfId="0">
      <alignment horizontal="center" vertical="center"/>
    </xf>
    <xf numFmtId="0" fontId="16" fillId="36" borderId="10" applyAlignment="1" pivotButton="0" quotePrefix="0" xfId="0">
      <alignment vertical="center" wrapText="1"/>
    </xf>
    <xf numFmtId="0" fontId="6" fillId="41" borderId="8" applyAlignment="1" pivotButton="0" quotePrefix="0" xfId="0">
      <alignment horizontal="left" vertical="center" wrapText="1"/>
    </xf>
    <xf numFmtId="0" fontId="16" fillId="41" borderId="9" applyAlignment="1" pivotButton="0" quotePrefix="0" xfId="0">
      <alignment horizontal="left" vertical="center" wrapText="1"/>
    </xf>
    <xf numFmtId="0" fontId="43" fillId="41" borderId="9" applyAlignment="1" pivotButton="0" quotePrefix="0" xfId="0">
      <alignment horizontal="center" vertical="center"/>
    </xf>
    <xf numFmtId="0" fontId="16" fillId="41" borderId="10" applyAlignment="1" pivotButton="0" quotePrefix="0" xfId="0">
      <alignment vertical="center" wrapText="1"/>
    </xf>
    <xf numFmtId="0" fontId="6" fillId="24" borderId="8" applyAlignment="1" pivotButton="0" quotePrefix="0" xfId="0">
      <alignment horizontal="left" vertical="center" wrapText="1"/>
    </xf>
    <xf numFmtId="0" fontId="16" fillId="24" borderId="9" applyAlignment="1" pivotButton="0" quotePrefix="0" xfId="0">
      <alignment horizontal="left" vertical="center" wrapText="1"/>
    </xf>
    <xf numFmtId="0" fontId="43" fillId="24" borderId="9" applyAlignment="1" pivotButton="0" quotePrefix="0" xfId="0">
      <alignment horizontal="center" vertical="center"/>
    </xf>
    <xf numFmtId="0" fontId="16" fillId="24" borderId="10" applyAlignment="1" pivotButton="0" quotePrefix="0" xfId="0">
      <alignment vertical="center" wrapText="1"/>
    </xf>
    <xf numFmtId="0" fontId="147" fillId="14" borderId="0" applyAlignment="1" pivotButton="0" quotePrefix="0" xfId="0">
      <alignment horizontal="center" vertical="center"/>
    </xf>
    <xf numFmtId="0" fontId="100" fillId="42" borderId="28" applyAlignment="1" pivotButton="0" quotePrefix="0" xfId="0">
      <alignment horizontal="left" vertical="center"/>
    </xf>
    <xf numFmtId="0" fontId="101" fillId="42" borderId="10" applyAlignment="1" pivotButton="0" quotePrefix="0" xfId="0">
      <alignment horizontal="right" vertical="center"/>
    </xf>
    <xf numFmtId="0" fontId="101" fillId="32" borderId="10" applyAlignment="1" pivotButton="0" quotePrefix="0" xfId="0">
      <alignment horizontal="right" vertical="center"/>
    </xf>
    <xf numFmtId="0" fontId="27" fillId="11" borderId="10" applyAlignment="1" pivotButton="0" quotePrefix="0" xfId="0">
      <alignment horizontal="right" vertical="center"/>
    </xf>
    <xf numFmtId="0" fontId="145" fillId="14" borderId="4" applyAlignment="1" pivotButton="0" quotePrefix="0" xfId="0">
      <alignment horizontal="center" vertical="center"/>
    </xf>
    <xf numFmtId="0" fontId="145" fillId="14" borderId="5" applyAlignment="1" pivotButton="0" quotePrefix="0" xfId="0">
      <alignment horizontal="left" vertical="center"/>
    </xf>
    <xf numFmtId="0" fontId="145" fillId="14" borderId="5" applyAlignment="1" pivotButton="0" quotePrefix="0" xfId="0">
      <alignment horizontal="center" vertical="center"/>
    </xf>
    <xf numFmtId="0" fontId="145" fillId="14" borderId="6" applyAlignment="1" pivotButton="0" quotePrefix="0" xfId="0">
      <alignment horizontal="center" vertical="center"/>
    </xf>
    <xf numFmtId="0" fontId="66" fillId="23" borderId="7" applyAlignment="1" pivotButton="0" quotePrefix="0" xfId="0">
      <alignment horizontal="center" vertical="center"/>
    </xf>
    <xf numFmtId="0" fontId="66" fillId="22" borderId="7" applyAlignment="1" pivotButton="0" quotePrefix="0" xfId="0">
      <alignment horizontal="center" vertical="center"/>
    </xf>
    <xf numFmtId="0" fontId="57" fillId="14" borderId="23" applyAlignment="1" pivotButton="0" quotePrefix="0" xfId="0">
      <alignment horizontal="left" vertical="center"/>
    </xf>
    <xf numFmtId="164" fontId="18" fillId="14" borderId="5" applyAlignment="1" pivotButton="0" quotePrefix="0" xfId="0">
      <alignment horizontal="right" vertical="center"/>
    </xf>
    <xf numFmtId="0" fontId="0" fillId="14" borderId="6" pivotButton="0" quotePrefix="0" xfId="0"/>
    <xf numFmtId="0" fontId="66" fillId="4" borderId="7" applyAlignment="1" pivotButton="0" quotePrefix="0" xfId="0">
      <alignment horizontal="center" vertical="center"/>
    </xf>
    <xf numFmtId="0" fontId="159" fillId="43" borderId="0" applyAlignment="1" pivotButton="0" quotePrefix="0" xfId="0">
      <alignment horizontal="center" vertical="center"/>
    </xf>
    <xf numFmtId="0" fontId="160" fillId="43" borderId="28" applyAlignment="1" pivotButton="0" quotePrefix="0" xfId="0">
      <alignment horizontal="left" vertical="center"/>
    </xf>
    <xf numFmtId="164" fontId="161" fillId="43" borderId="10" applyAlignment="1" pivotButton="0" quotePrefix="0" xfId="0">
      <alignment horizontal="right" vertical="center"/>
    </xf>
    <xf numFmtId="0" fontId="25" fillId="12" borderId="28" applyAlignment="1" pivotButton="0" quotePrefix="0" xfId="0">
      <alignment horizontal="left" vertical="center"/>
    </xf>
    <xf numFmtId="164" fontId="27" fillId="12" borderId="10" applyAlignment="1" pivotButton="0" quotePrefix="0" xfId="0">
      <alignment horizontal="right" vertical="center"/>
    </xf>
    <xf numFmtId="0" fontId="27" fillId="12" borderId="10" applyAlignment="1" pivotButton="0" quotePrefix="0" xfId="0">
      <alignment horizontal="right" vertical="center"/>
    </xf>
    <xf numFmtId="0" fontId="162" fillId="43" borderId="4" applyAlignment="1" pivotButton="0" quotePrefix="0" xfId="0">
      <alignment horizontal="center" vertical="center"/>
    </xf>
    <xf numFmtId="0" fontId="162" fillId="43" borderId="5" applyAlignment="1" pivotButton="0" quotePrefix="0" xfId="0">
      <alignment horizontal="left" vertical="center"/>
    </xf>
    <xf numFmtId="0" fontId="162" fillId="43" borderId="5" applyAlignment="1" pivotButton="0" quotePrefix="0" xfId="0">
      <alignment horizontal="center" vertical="center"/>
    </xf>
    <xf numFmtId="0" fontId="162" fillId="43" borderId="6" applyAlignment="1" pivotButton="0" quotePrefix="0" xfId="0">
      <alignment horizontal="center" vertical="center"/>
    </xf>
    <xf numFmtId="0" fontId="50" fillId="44" borderId="7" applyAlignment="1" pivotButton="0" quotePrefix="0" xfId="0">
      <alignment horizontal="center" vertical="center"/>
    </xf>
    <xf numFmtId="0" fontId="16" fillId="44" borderId="7" applyAlignment="1" pivotButton="0" quotePrefix="0" xfId="0">
      <alignment horizontal="left" vertical="center" wrapText="1"/>
    </xf>
    <xf numFmtId="0" fontId="66" fillId="44" borderId="7" applyAlignment="1" pivotButton="0" quotePrefix="0" xfId="0">
      <alignment horizontal="center" vertical="center"/>
    </xf>
    <xf numFmtId="0" fontId="55" fillId="44" borderId="7" applyAlignment="1" pivotButton="0" quotePrefix="0" xfId="0">
      <alignment vertical="center" wrapText="1"/>
    </xf>
    <xf numFmtId="0" fontId="57" fillId="43" borderId="23" applyAlignment="1" pivotButton="0" quotePrefix="0" xfId="0">
      <alignment horizontal="left" vertical="center"/>
    </xf>
    <xf numFmtId="164" fontId="18" fillId="43" borderId="5" applyAlignment="1" pivotButton="0" quotePrefix="0" xfId="0">
      <alignment horizontal="right" vertical="center"/>
    </xf>
    <xf numFmtId="0" fontId="0" fillId="43" borderId="6" pivotButton="0" quotePrefix="0" xfId="0"/>
    <xf numFmtId="0" fontId="5" fillId="44" borderId="7" applyAlignment="1" pivotButton="0" quotePrefix="0" xfId="0">
      <alignment horizontal="left" vertical="center" wrapText="1"/>
    </xf>
    <xf numFmtId="0" fontId="163" fillId="43" borderId="26" applyAlignment="1" pivotButton="0" quotePrefix="0" xfId="0">
      <alignment horizontal="left" vertical="center"/>
    </xf>
    <xf numFmtId="164" fontId="159" fillId="43" borderId="13" applyAlignment="1" pivotButton="0" quotePrefix="0" xfId="0">
      <alignment horizontal="right" vertical="center"/>
    </xf>
    <xf numFmtId="0" fontId="164" fillId="43" borderId="14" applyAlignment="1" pivotButton="0" quotePrefix="0" xfId="0">
      <alignment horizontal="left" vertical="center"/>
    </xf>
    <xf numFmtId="0" fontId="60" fillId="2" borderId="0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0" fillId="22" borderId="7" pivotButton="0" quotePrefix="0" xfId="0"/>
    <xf numFmtId="0" fontId="0" fillId="6" borderId="7" pivotButton="0" quotePrefix="0" xfId="0"/>
    <xf numFmtId="0" fontId="16" fillId="5" borderId="7" applyAlignment="1" pivotButton="0" quotePrefix="0" xfId="0">
      <alignment horizontal="center" vertical="center"/>
    </xf>
    <xf numFmtId="0" fontId="44" fillId="22" borderId="7" applyAlignment="1" pivotButton="0" quotePrefix="0" xfId="0">
      <alignment horizontal="left" vertical="center"/>
    </xf>
    <xf numFmtId="165" fontId="0" fillId="36" borderId="7" applyAlignment="1" pivotButton="0" quotePrefix="0" xfId="0">
      <alignment horizontal="center" vertical="center"/>
    </xf>
    <xf numFmtId="165" fontId="6" fillId="6" borderId="7" applyAlignment="1" pivotButton="0" quotePrefix="0" xfId="0">
      <alignment horizontal="center" vertical="center"/>
    </xf>
    <xf numFmtId="0" fontId="66" fillId="5" borderId="7" pivotButton="0" quotePrefix="0" xfId="0"/>
    <xf numFmtId="0" fontId="44" fillId="6" borderId="7" applyAlignment="1" pivotButton="0" quotePrefix="0" xfId="0">
      <alignment horizontal="left" vertical="center"/>
    </xf>
    <xf numFmtId="0" fontId="0" fillId="22" borderId="7" applyAlignment="1" pivotButton="0" quotePrefix="0" xfId="0">
      <alignment horizontal="center" vertical="center"/>
    </xf>
    <xf numFmtId="0" fontId="44" fillId="20" borderId="7" applyAlignment="1" pivotButton="0" quotePrefix="0" xfId="0">
      <alignment horizontal="left" vertical="center"/>
    </xf>
    <xf numFmtId="0" fontId="0" fillId="20" borderId="7" applyAlignment="1" pivotButton="0" quotePrefix="0" xfId="0">
      <alignment horizontal="center" vertical="center"/>
    </xf>
    <xf numFmtId="164" fontId="43" fillId="15" borderId="7" pivotButton="0" quotePrefix="0" xfId="0"/>
    <xf numFmtId="0" fontId="28" fillId="5" borderId="31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47" fillId="3" borderId="4" applyAlignment="1" pivotButton="0" quotePrefix="0" xfId="0">
      <alignment horizontal="center" vertical="center" wrapText="1"/>
    </xf>
    <xf numFmtId="0" fontId="47" fillId="3" borderId="5" applyAlignment="1" pivotButton="0" quotePrefix="0" xfId="0">
      <alignment horizontal="center" vertical="center" wrapText="1"/>
    </xf>
    <xf numFmtId="0" fontId="47" fillId="3" borderId="43" applyAlignment="1" pivotButton="0" quotePrefix="0" xfId="0">
      <alignment horizontal="center" vertical="center" wrapText="1"/>
    </xf>
    <xf numFmtId="0" fontId="47" fillId="3" borderId="6" applyAlignment="1" pivotButton="0" quotePrefix="0" xfId="0">
      <alignment horizontal="center" vertical="center" wrapText="1"/>
    </xf>
    <xf numFmtId="0" fontId="16" fillId="22" borderId="8" applyAlignment="1" pivotButton="0" quotePrefix="0" xfId="0">
      <alignment horizontal="center" vertical="center"/>
    </xf>
    <xf numFmtId="0" fontId="16" fillId="22" borderId="30" applyAlignment="1" pivotButton="0" quotePrefix="0" xfId="0">
      <alignment horizontal="left" vertical="center"/>
    </xf>
    <xf numFmtId="0" fontId="5" fillId="5" borderId="9" applyAlignment="1" pivotButton="0" quotePrefix="0" xfId="0">
      <alignment horizontal="center" vertical="center"/>
    </xf>
    <xf numFmtId="0" fontId="28" fillId="18" borderId="9" applyAlignment="1" pivotButton="0" quotePrefix="0" xfId="0">
      <alignment horizontal="center" vertical="center"/>
    </xf>
    <xf numFmtId="0" fontId="7" fillId="22" borderId="10" applyAlignment="1" pivotButton="0" quotePrefix="0" xfId="0">
      <alignment horizontal="left" vertical="center"/>
    </xf>
    <xf numFmtId="0" fontId="16" fillId="6" borderId="30" applyAlignment="1" pivotButton="0" quotePrefix="0" xfId="0">
      <alignment horizontal="left" vertical="center"/>
    </xf>
    <xf numFmtId="0" fontId="7" fillId="6" borderId="10" applyAlignment="1" pivotButton="0" quotePrefix="0" xfId="0">
      <alignment horizontal="left" vertical="center"/>
    </xf>
    <xf numFmtId="0" fontId="56" fillId="23" borderId="9" applyAlignment="1" pivotButton="0" quotePrefix="0" xfId="0">
      <alignment horizontal="center" vertical="center"/>
    </xf>
    <xf numFmtId="0" fontId="77" fillId="25" borderId="9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6" fillId="22" borderId="39" applyAlignment="1" pivotButton="0" quotePrefix="0" xfId="0">
      <alignment horizontal="left" vertical="center"/>
    </xf>
    <xf numFmtId="0" fontId="0" fillId="0" borderId="35" pivotButton="0" quotePrefix="0" xfId="0"/>
    <xf numFmtId="0" fontId="16" fillId="22" borderId="41" applyAlignment="1" pivotButton="0" quotePrefix="0" xfId="0">
      <alignment horizontal="left" vertical="center"/>
    </xf>
    <xf numFmtId="0" fontId="16" fillId="22" borderId="37" applyAlignment="1" pivotButton="0" quotePrefix="0" xfId="0">
      <alignment horizontal="left" vertical="center"/>
    </xf>
    <xf numFmtId="0" fontId="0" fillId="0" borderId="38" pivotButton="0" quotePrefix="0" xfId="0"/>
    <xf numFmtId="0" fontId="5" fillId="5" borderId="39" applyAlignment="1" pivotButton="0" quotePrefix="0" xfId="0">
      <alignment horizontal="left" vertical="center"/>
    </xf>
    <xf numFmtId="0" fontId="16" fillId="5" borderId="41" applyAlignment="1" pivotButton="0" quotePrefix="0" xfId="0">
      <alignment horizontal="left" vertical="center"/>
    </xf>
    <xf numFmtId="0" fontId="16" fillId="5" borderId="37" applyAlignment="1" pivotButton="0" quotePrefix="0" xfId="0">
      <alignment horizontal="left" vertical="center"/>
    </xf>
    <xf numFmtId="0" fontId="47" fillId="14" borderId="12" applyAlignment="1" pivotButton="0" quotePrefix="0" xfId="0">
      <alignment horizontal="center" vertical="center" wrapText="1"/>
    </xf>
    <xf numFmtId="0" fontId="47" fillId="14" borderId="13" applyAlignment="1" pivotButton="0" quotePrefix="0" xfId="0">
      <alignment horizontal="center" vertical="center" wrapText="1"/>
    </xf>
    <xf numFmtId="0" fontId="47" fillId="14" borderId="14" applyAlignment="1" pivotButton="0" quotePrefix="0" xfId="0">
      <alignment horizontal="center" vertical="center" wrapText="1"/>
    </xf>
    <xf numFmtId="0" fontId="20" fillId="23" borderId="8" applyAlignment="1" pivotButton="0" quotePrefix="0" xfId="0">
      <alignment horizontal="left" vertical="center" wrapText="1"/>
    </xf>
    <xf numFmtId="164" fontId="5" fillId="23" borderId="9" applyAlignment="1" pivotButton="0" quotePrefix="0" xfId="0">
      <alignment horizontal="right" vertical="center"/>
    </xf>
    <xf numFmtId="164" fontId="16" fillId="18" borderId="9" applyAlignment="1" pivotButton="0" quotePrefix="0" xfId="0">
      <alignment horizontal="right" vertical="center"/>
    </xf>
    <xf numFmtId="0" fontId="16" fillId="23" borderId="9" applyAlignment="1" pivotButton="0" quotePrefix="0" xfId="0">
      <alignment horizontal="left" vertical="center" wrapText="1"/>
    </xf>
    <xf numFmtId="0" fontId="165" fillId="23" borderId="10" applyAlignment="1" pivotButton="0" quotePrefix="0" xfId="0">
      <alignment horizontal="left" vertical="center" wrapText="1"/>
    </xf>
    <xf numFmtId="0" fontId="20" fillId="6" borderId="8" applyAlignment="1" pivotButton="0" quotePrefix="0" xfId="0">
      <alignment horizontal="left" vertical="center" wrapText="1"/>
    </xf>
    <xf numFmtId="0" fontId="165" fillId="6" borderId="10" applyAlignment="1" pivotButton="0" quotePrefix="0" xfId="0">
      <alignment horizontal="left" vertical="center" wrapText="1"/>
    </xf>
    <xf numFmtId="0" fontId="20" fillId="18" borderId="8" applyAlignment="1" pivotButton="0" quotePrefix="0" xfId="0">
      <alignment horizontal="left" vertical="center" wrapText="1"/>
    </xf>
    <xf numFmtId="0" fontId="16" fillId="18" borderId="9" applyAlignment="1" pivotButton="0" quotePrefix="0" xfId="0">
      <alignment horizontal="center" vertical="center"/>
    </xf>
    <xf numFmtId="0" fontId="16" fillId="18" borderId="9" applyAlignment="1" pivotButton="0" quotePrefix="0" xfId="0">
      <alignment horizontal="left" vertical="center" wrapText="1"/>
    </xf>
    <xf numFmtId="0" fontId="43" fillId="22" borderId="9" applyAlignment="1" pivotButton="0" quotePrefix="0" xfId="0">
      <alignment horizontal="center" vertical="center"/>
    </xf>
    <xf numFmtId="0" fontId="165" fillId="18" borderId="10" applyAlignment="1" pivotButton="0" quotePrefix="0" xfId="0">
      <alignment horizontal="left" vertical="center" wrapText="1"/>
    </xf>
    <xf numFmtId="0" fontId="20" fillId="4" borderId="8" applyAlignment="1" pivotButton="0" quotePrefix="0" xfId="0">
      <alignment horizontal="left" vertical="center" wrapText="1"/>
    </xf>
    <xf numFmtId="0" fontId="165" fillId="4" borderId="10" applyAlignment="1" pivotButton="0" quotePrefix="0" xfId="0">
      <alignment horizontal="left" vertical="center" wrapText="1"/>
    </xf>
    <xf numFmtId="0" fontId="20" fillId="5" borderId="8" applyAlignment="1" pivotButton="0" quotePrefix="0" xfId="0">
      <alignment horizontal="left" vertical="center" wrapText="1"/>
    </xf>
    <xf numFmtId="0" fontId="16" fillId="5" borderId="9" applyAlignment="1" pivotButton="0" quotePrefix="0" xfId="0">
      <alignment horizontal="center" vertical="center"/>
    </xf>
    <xf numFmtId="0" fontId="165" fillId="5" borderId="10" applyAlignment="1" pivotButton="0" quotePrefix="0" xfId="0">
      <alignment horizontal="left" vertical="center" wrapText="1"/>
    </xf>
    <xf numFmtId="0" fontId="50" fillId="23" borderId="8" applyAlignment="1" pivotButton="0" quotePrefix="0" xfId="0">
      <alignment horizontal="center" vertical="center"/>
    </xf>
    <xf numFmtId="0" fontId="5" fillId="23" borderId="9" applyAlignment="1" pivotButton="0" quotePrefix="0" xfId="0">
      <alignment horizontal="left" vertical="center" wrapText="1"/>
    </xf>
    <xf numFmtId="0" fontId="50" fillId="23" borderId="9" applyAlignment="1" pivotButton="0" quotePrefix="0" xfId="0">
      <alignment horizontal="center" vertical="center"/>
    </xf>
    <xf numFmtId="164" fontId="16" fillId="39" borderId="9" applyAlignment="1" pivotButton="0" quotePrefix="0" xfId="0">
      <alignment horizontal="right" vertical="center"/>
    </xf>
    <xf numFmtId="0" fontId="5" fillId="22" borderId="9" applyAlignment="1" pivotButton="0" quotePrefix="0" xfId="0">
      <alignment horizontal="left" vertical="center" wrapText="1"/>
    </xf>
    <xf numFmtId="0" fontId="165" fillId="22" borderId="10" applyAlignment="1" pivotButton="0" quotePrefix="0" xfId="0">
      <alignment horizontal="left" vertical="center" wrapText="1"/>
    </xf>
    <xf numFmtId="0" fontId="25" fillId="14" borderId="26" applyAlignment="1" pivotButton="0" quotePrefix="0" xfId="0">
      <alignment horizontal="left" vertical="center"/>
    </xf>
    <xf numFmtId="0" fontId="62" fillId="14" borderId="14" applyAlignment="1" pivotButton="0" quotePrefix="0" xfId="0">
      <alignment horizontal="left" vertical="center"/>
    </xf>
    <xf numFmtId="0" fontId="25" fillId="13" borderId="26" applyAlignment="1" pivotButton="0" quotePrefix="0" xfId="0">
      <alignment horizontal="left" vertical="center"/>
    </xf>
    <xf numFmtId="0" fontId="166" fillId="13" borderId="14" applyAlignment="1" pivotButton="0" quotePrefix="0" xfId="0">
      <alignment horizontal="left" vertical="center"/>
    </xf>
    <xf numFmtId="0" fontId="0" fillId="23" borderId="7" pivotButton="0" quotePrefix="0" xfId="0"/>
    <xf numFmtId="164" fontId="19" fillId="4" borderId="7" pivotButton="0" quotePrefix="0" xfId="0"/>
    <xf numFmtId="0" fontId="18" fillId="10" borderId="26" applyAlignment="1" pivotButton="0" quotePrefix="0" xfId="0">
      <alignment horizontal="left" vertical="center"/>
    </xf>
    <xf numFmtId="164" fontId="60" fillId="10" borderId="13" applyAlignment="1" pivotButton="0" quotePrefix="0" xfId="0">
      <alignment horizontal="right" vertical="center"/>
    </xf>
    <xf numFmtId="0" fontId="62" fillId="10" borderId="14" applyAlignment="1" pivotButton="0" quotePrefix="0" xfId="0">
      <alignment horizontal="left" vertical="center"/>
    </xf>
    <xf numFmtId="0" fontId="87" fillId="20" borderId="7" applyAlignment="1" pivotButton="0" quotePrefix="0" xfId="0">
      <alignment horizontal="left" vertical="center" wrapText="1"/>
    </xf>
    <xf numFmtId="0" fontId="18" fillId="17" borderId="7" applyAlignment="1" pivotButton="0" quotePrefix="0" xfId="0">
      <alignment horizontal="left" vertical="center"/>
    </xf>
    <xf numFmtId="0" fontId="47" fillId="17" borderId="4" applyAlignment="1" pivotButton="0" quotePrefix="0" xfId="0">
      <alignment horizontal="center" vertical="center" wrapText="1"/>
    </xf>
    <xf numFmtId="0" fontId="47" fillId="17" borderId="5" applyAlignment="1" pivotButton="0" quotePrefix="0" xfId="0">
      <alignment horizontal="center" vertical="center" wrapText="1"/>
    </xf>
    <xf numFmtId="0" fontId="47" fillId="17" borderId="6" applyAlignment="1" pivotButton="0" quotePrefix="0" xfId="0">
      <alignment horizontal="center" vertical="center" wrapText="1"/>
    </xf>
    <xf numFmtId="0" fontId="5" fillId="23" borderId="8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 wrapText="1"/>
    </xf>
    <xf numFmtId="0" fontId="50" fillId="20" borderId="9" applyAlignment="1" pivotButton="0" quotePrefix="0" xfId="0">
      <alignment horizontal="center" vertical="center"/>
    </xf>
    <xf numFmtId="0" fontId="165" fillId="20" borderId="1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/>
    </xf>
    <xf numFmtId="0" fontId="45" fillId="22" borderId="9" applyAlignment="1" pivotButton="0" quotePrefix="0" xfId="0">
      <alignment horizontal="left" vertical="center" wrapText="1"/>
    </xf>
    <xf numFmtId="0" fontId="5" fillId="25" borderId="8" applyAlignment="1" pivotButton="0" quotePrefix="0" xfId="0">
      <alignment horizontal="center" vertical="center"/>
    </xf>
    <xf numFmtId="0" fontId="50" fillId="25" borderId="9" applyAlignment="1" pivotButton="0" quotePrefix="0" xfId="0">
      <alignment horizontal="center" vertical="center"/>
    </xf>
    <xf numFmtId="0" fontId="5" fillId="18" borderId="8" applyAlignment="1" pivotButton="0" quotePrefix="0" xfId="0">
      <alignment horizontal="center" vertical="center"/>
    </xf>
    <xf numFmtId="0" fontId="50" fillId="18" borderId="9" applyAlignment="1" pivotButton="0" quotePrefix="0" xfId="0">
      <alignment horizontal="center" vertical="center"/>
    </xf>
    <xf numFmtId="0" fontId="5" fillId="20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0" fillId="5" borderId="9" applyAlignment="1" pivotButton="0" quotePrefix="0" xfId="0">
      <alignment horizontal="center" vertical="center"/>
    </xf>
    <xf numFmtId="166" fontId="44" fillId="22" borderId="7" applyAlignment="1" pivotButton="0" quotePrefix="0" xfId="0">
      <alignment horizontal="left" vertical="center"/>
    </xf>
    <xf numFmtId="0" fontId="0" fillId="4" borderId="7" applyAlignment="1" pivotButton="0" quotePrefix="0" xfId="0">
      <alignment vertical="center"/>
    </xf>
    <xf numFmtId="166" fontId="44" fillId="20" borderId="7" applyAlignment="1" pivotButton="0" quotePrefix="0" xfId="0">
      <alignment horizontal="left" vertical="center"/>
    </xf>
    <xf numFmtId="0" fontId="0" fillId="20" borderId="7" pivotButton="0" quotePrefix="0" xfId="0"/>
    <xf numFmtId="0" fontId="0" fillId="27" borderId="7" applyAlignment="1" pivotButton="0" quotePrefix="0" xfId="0">
      <alignment horizontal="center" vertical="center"/>
    </xf>
    <xf numFmtId="165" fontId="45" fillId="20" borderId="7" applyAlignment="1" pivotButton="0" quotePrefix="0" xfId="0">
      <alignment horizontal="center" vertical="center"/>
    </xf>
    <xf numFmtId="0" fontId="59" fillId="6" borderId="7" applyAlignment="1" pivotButton="0" quotePrefix="0" xfId="0">
      <alignment horizontal="left" vertical="center" wrapText="1"/>
    </xf>
    <xf numFmtId="0" fontId="18" fillId="11" borderId="7" applyAlignment="1" pivotButton="0" quotePrefix="0" xfId="0">
      <alignment horizontal="left" vertical="center"/>
    </xf>
    <xf numFmtId="0" fontId="47" fillId="11" borderId="4" applyAlignment="1" pivotButton="0" quotePrefix="0" xfId="0">
      <alignment horizontal="center" vertical="center" wrapText="1"/>
    </xf>
    <xf numFmtId="0" fontId="47" fillId="11" borderId="5" applyAlignment="1" pivotButton="0" quotePrefix="0" xfId="0">
      <alignment horizontal="center" vertical="center" wrapText="1"/>
    </xf>
    <xf numFmtId="0" fontId="47" fillId="11" borderId="6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left" vertical="center" wrapText="1"/>
    </xf>
    <xf numFmtId="0" fontId="6" fillId="22" borderId="9" applyAlignment="1" pivotButton="0" quotePrefix="0" xfId="0">
      <alignment horizontal="left" vertical="center" wrapText="1"/>
    </xf>
    <xf numFmtId="0" fontId="33" fillId="7" borderId="9" applyAlignment="1" pivotButton="0" quotePrefix="0" xfId="0">
      <alignment horizontal="center" vertical="center"/>
    </xf>
    <xf numFmtId="0" fontId="56" fillId="15" borderId="7" applyAlignment="1" pivotButton="0" quotePrefix="0" xfId="0">
      <alignment horizontal="left" vertical="center" wrapText="1"/>
    </xf>
    <xf numFmtId="0" fontId="18" fillId="14" borderId="7" applyAlignment="1" pivotButton="0" quotePrefix="0" xfId="0">
      <alignment horizontal="left" vertical="center"/>
    </xf>
    <xf numFmtId="0" fontId="47" fillId="14" borderId="4" applyAlignment="1" pivotButton="0" quotePrefix="0" xfId="0">
      <alignment horizontal="center" vertical="center" wrapText="1"/>
    </xf>
    <xf numFmtId="0" fontId="47" fillId="14" borderId="5" applyAlignment="1" pivotButton="0" quotePrefix="0" xfId="0">
      <alignment horizontal="center" vertical="center" wrapText="1"/>
    </xf>
    <xf numFmtId="0" fontId="47" fillId="14" borderId="6" applyAlignment="1" pivotButton="0" quotePrefix="0" xfId="0">
      <alignment horizontal="center" vertical="center" wrapText="1"/>
    </xf>
    <xf numFmtId="0" fontId="50" fillId="15" borderId="8" applyAlignment="1" pivotButton="0" quotePrefix="0" xfId="0">
      <alignment horizontal="center" vertical="center"/>
    </xf>
    <xf numFmtId="0" fontId="43" fillId="15" borderId="9" applyAlignment="1" pivotButton="0" quotePrefix="0" xfId="0">
      <alignment horizontal="left" vertical="center" wrapText="1"/>
    </xf>
    <xf numFmtId="0" fontId="50" fillId="15" borderId="9" applyAlignment="1" pivotButton="0" quotePrefix="0" xfId="0">
      <alignment horizontal="center" vertical="center"/>
    </xf>
    <xf numFmtId="0" fontId="33" fillId="5" borderId="9" applyAlignment="1" pivotButton="0" quotePrefix="0" xfId="0">
      <alignment horizontal="left" vertical="center" wrapText="1"/>
    </xf>
    <xf numFmtId="0" fontId="29" fillId="15" borderId="9" applyAlignment="1" pivotButton="0" quotePrefix="0" xfId="0">
      <alignment horizontal="left" vertical="center" wrapText="1"/>
    </xf>
    <xf numFmtId="0" fontId="165" fillId="15" borderId="10" applyAlignment="1" pivotButton="0" quotePrefix="0" xfId="0">
      <alignment horizontal="left" vertical="center" wrapText="1"/>
    </xf>
    <xf numFmtId="0" fontId="43" fillId="22" borderId="9" applyAlignment="1" pivotButton="0" quotePrefix="0" xfId="0">
      <alignment horizontal="left" vertical="center" wrapText="1"/>
    </xf>
    <xf numFmtId="0" fontId="29" fillId="22" borderId="9" applyAlignment="1" pivotButton="0" quotePrefix="0" xfId="0">
      <alignment horizontal="left" vertical="center" wrapText="1"/>
    </xf>
    <xf numFmtId="0" fontId="43" fillId="15" borderId="8" applyAlignment="1" pivotButton="0" quotePrefix="0" xfId="0">
      <alignment horizontal="left" vertical="center"/>
    </xf>
    <xf numFmtId="0" fontId="16" fillId="15" borderId="30" applyAlignment="1" pivotButton="0" quotePrefix="0" xfId="0">
      <alignment horizontal="left" vertical="center" wrapText="1"/>
    </xf>
    <xf numFmtId="0" fontId="28" fillId="18" borderId="10" applyAlignment="1" pivotButton="0" quotePrefix="0" xfId="0">
      <alignment horizontal="center" vertical="center"/>
    </xf>
    <xf numFmtId="0" fontId="43" fillId="22" borderId="8" applyAlignment="1" pivotButton="0" quotePrefix="0" xfId="0">
      <alignment horizontal="left" vertical="center"/>
    </xf>
    <xf numFmtId="0" fontId="16" fillId="22" borderId="30" applyAlignment="1" pivotButton="0" quotePrefix="0" xfId="0">
      <alignment horizontal="left" vertical="center" wrapText="1"/>
    </xf>
    <xf numFmtId="0" fontId="56" fillId="23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2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44" customHeight="1">
      <c r="A1" s="1" t="inlineStr">
        <is>
          <t>🌿 NAWA CAHAYA — MASTER WORKBOOK INVESTOR READY</t>
        </is>
      </c>
    </row>
    <row r="2" ht="18" customHeight="1">
      <c r="A2" s="2" t="inlineStr">
        <is>
          <t>Semua sheet dalam 1 file · Gabungan bisnis model, keuangan, operasional, risiko &amp; program</t>
        </is>
      </c>
    </row>
    <row r="4">
      <c r="A4" s="3" t="inlineStr">
        <is>
          <t xml:space="preserve">  📌 CARA PAKAI: Isi semua sel MERAH dulu → Semua angka akan terhitung otomatis → Siap presentasi ke investor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6">
      <c r="A6" s="6" t="inlineStr">
        <is>
          <t>No</t>
        </is>
      </c>
      <c r="B6" s="7" t="inlineStr">
        <is>
          <t>Nama Sheet</t>
        </is>
      </c>
      <c r="C6" s="7" t="inlineStr">
        <is>
          <t>Isi / Fungsi</t>
        </is>
      </c>
      <c r="D6" s="8" t="n"/>
      <c r="E6" s="8" t="n"/>
      <c r="F6" s="9" t="inlineStr">
        <is>
          <t>Status</t>
        </is>
      </c>
      <c r="G6" s="8" t="n"/>
      <c r="H6" s="8" t="n"/>
      <c r="I6" s="9" t="inlineStr">
        <is>
          <t>Prioritas</t>
        </is>
      </c>
      <c r="J6" s="8" t="n"/>
      <c r="K6" s="8" t="n"/>
      <c r="L6" s="9" t="inlineStr">
        <is>
          <t>Siap Investor?</t>
        </is>
      </c>
      <c r="M6" s="8" t="n"/>
      <c r="N6" s="10" t="n"/>
    </row>
    <row r="7" ht="20" customHeight="1">
      <c r="A7" s="11" t="n">
        <v>1</v>
      </c>
      <c r="B7" s="12" t="inlineStr">
        <is>
          <t>🗂️ INDEX &amp; NAVIGASI</t>
        </is>
      </c>
      <c r="C7" s="13" t="inlineStr">
        <is>
          <t>Panduan navigasi seluruh workbook</t>
        </is>
      </c>
      <c r="D7" s="14" t="n"/>
      <c r="E7" s="14" t="n"/>
      <c r="F7" s="15" t="inlineStr">
        <is>
          <t>DONE</t>
        </is>
      </c>
      <c r="G7" s="14" t="n"/>
      <c r="H7" s="14" t="n"/>
      <c r="I7" s="16" t="inlineStr">
        <is>
          <t>—</t>
        </is>
      </c>
      <c r="J7" s="14" t="n"/>
      <c r="K7" s="14" t="n"/>
      <c r="L7" s="17" t="inlineStr">
        <is>
          <t>✅</t>
        </is>
      </c>
      <c r="M7" s="14" t="n"/>
      <c r="N7" s="18" t="n"/>
    </row>
    <row r="8" ht="20" customHeight="1">
      <c r="A8" s="11" t="n">
        <v>2</v>
      </c>
      <c r="B8" s="19" t="inlineStr">
        <is>
          <t>📊 EXECUTIVE SUMMARY</t>
        </is>
      </c>
      <c r="C8" s="20" t="inlineStr">
        <is>
          <t>1-page ringkasan bisnis untuk investor: model, angka kunci, BEP, return</t>
        </is>
      </c>
      <c r="D8" s="14" t="n"/>
      <c r="E8" s="14" t="n"/>
      <c r="F8" s="21" t="inlineStr">
        <is>
          <t>PERLU ISI</t>
        </is>
      </c>
      <c r="G8" s="14" t="n"/>
      <c r="H8" s="14" t="n"/>
      <c r="I8" s="22" t="inlineStr">
        <is>
          <t>★★★ KRITIS</t>
        </is>
      </c>
      <c r="J8" s="14" t="n"/>
      <c r="K8" s="14" t="n"/>
      <c r="L8" s="23" t="inlineStr">
        <is>
          <t>❌</t>
        </is>
      </c>
      <c r="M8" s="14" t="n"/>
      <c r="N8" s="18" t="n"/>
    </row>
    <row r="9" ht="20" customHeight="1">
      <c r="A9" s="11" t="n">
        <v>3</v>
      </c>
      <c r="B9" s="19" t="inlineStr">
        <is>
          <t>💰 CASH FLOW 24 BLN</t>
        </is>
      </c>
      <c r="C9" s="20" t="inlineStr">
        <is>
          <t>Proyeksi kas bulanan 2 tahun: masuk, keluar, saldo, BEP</t>
        </is>
      </c>
      <c r="D9" s="14" t="n"/>
      <c r="E9" s="14" t="n"/>
      <c r="F9" s="21" t="inlineStr">
        <is>
          <t>PERLU ISI</t>
        </is>
      </c>
      <c r="G9" s="14" t="n"/>
      <c r="H9" s="14" t="n"/>
      <c r="I9" s="22" t="inlineStr">
        <is>
          <t>★★★ KRITIS</t>
        </is>
      </c>
      <c r="J9" s="14" t="n"/>
      <c r="K9" s="14" t="n"/>
      <c r="L9" s="23" t="inlineStr">
        <is>
          <t>❌</t>
        </is>
      </c>
      <c r="M9" s="14" t="n"/>
      <c r="N9" s="18" t="n"/>
    </row>
    <row r="10" ht="20" customHeight="1">
      <c r="A10" s="11" t="n">
        <v>4</v>
      </c>
      <c r="B10" s="19" t="inlineStr">
        <is>
          <t>📈 P&amp;L BULANAN</t>
        </is>
      </c>
      <c r="C10" s="20" t="inlineStr">
        <is>
          <t>Laba rugi per bulan: revenue - COGS - opex = net profit</t>
        </is>
      </c>
      <c r="D10" s="14" t="n"/>
      <c r="E10" s="14" t="n"/>
      <c r="F10" s="21" t="inlineStr">
        <is>
          <t>PERLU ISI</t>
        </is>
      </c>
      <c r="G10" s="14" t="n"/>
      <c r="H10" s="14" t="n"/>
      <c r="I10" s="22" t="inlineStr">
        <is>
          <t>★★★ KRITIS</t>
        </is>
      </c>
      <c r="J10" s="14" t="n"/>
      <c r="K10" s="14" t="n"/>
      <c r="L10" s="23" t="inlineStr">
        <is>
          <t>❌</t>
        </is>
      </c>
      <c r="M10" s="14" t="n"/>
      <c r="N10" s="18" t="n"/>
    </row>
    <row r="11" ht="20" customHeight="1">
      <c r="A11" s="11" t="n">
        <v>5</v>
      </c>
      <c r="B11" s="19" t="inlineStr">
        <is>
          <t>🎯 TARGET MARKET &amp; BUYER</t>
        </is>
      </c>
      <c r="C11" s="20" t="inlineStr">
        <is>
          <t>Database buyer prospect, analisa kompetitor, TAM/SAM/SOM</t>
        </is>
      </c>
      <c r="D11" s="14" t="n"/>
      <c r="E11" s="14" t="n"/>
      <c r="F11" s="21" t="inlineStr">
        <is>
          <t>PERLU ISI</t>
        </is>
      </c>
      <c r="G11" s="14" t="n"/>
      <c r="H11" s="14" t="n"/>
      <c r="I11" s="22" t="inlineStr">
        <is>
          <t>★★★ KRITIS</t>
        </is>
      </c>
      <c r="J11" s="14" t="n"/>
      <c r="K11" s="14" t="n"/>
      <c r="L11" s="23" t="inlineStr">
        <is>
          <t>❌</t>
        </is>
      </c>
      <c r="M11" s="14" t="n"/>
      <c r="N11" s="18" t="n"/>
    </row>
    <row r="12" ht="20" customHeight="1">
      <c r="A12" s="11" t="n">
        <v>6</v>
      </c>
      <c r="B12" s="19" t="inlineStr">
        <is>
          <t>⚠️ RISK REGISTER</t>
        </is>
      </c>
      <c r="C12" s="20" t="inlineStr">
        <is>
          <t>Daftar risiko, likelihood×impact, mitigasi, worst/best case</t>
        </is>
      </c>
      <c r="D12" s="14" t="n"/>
      <c r="E12" s="14" t="n"/>
      <c r="F12" s="21" t="inlineStr">
        <is>
          <t>PERLU ISI</t>
        </is>
      </c>
      <c r="G12" s="14" t="n"/>
      <c r="H12" s="14" t="n"/>
      <c r="I12" s="22" t="inlineStr">
        <is>
          <t>★★★ KRITIS</t>
        </is>
      </c>
      <c r="J12" s="14" t="n"/>
      <c r="K12" s="14" t="n"/>
      <c r="L12" s="23" t="inlineStr">
        <is>
          <t>❌</t>
        </is>
      </c>
      <c r="M12" s="14" t="n"/>
      <c r="N12" s="18" t="n"/>
    </row>
    <row r="13" ht="20" customHeight="1">
      <c r="A13" s="11" t="n">
        <v>7</v>
      </c>
      <c r="B13" s="19" t="inlineStr">
        <is>
          <t>📅 GANTT CHART &amp; KPI</t>
        </is>
      </c>
      <c r="C13" s="20" t="inlineStr">
        <is>
          <t>Timeline detail, PIC tiap task, KPI mingguan, critical path</t>
        </is>
      </c>
      <c r="D13" s="14" t="n"/>
      <c r="E13" s="14" t="n"/>
      <c r="F13" s="21" t="inlineStr">
        <is>
          <t>PERLU ISI</t>
        </is>
      </c>
      <c r="G13" s="14" t="n"/>
      <c r="H13" s="14" t="n"/>
      <c r="I13" s="24" t="inlineStr">
        <is>
          <t>★★ PENTING</t>
        </is>
      </c>
      <c r="J13" s="14" t="n"/>
      <c r="K13" s="14" t="n"/>
      <c r="L13" s="23" t="inlineStr">
        <is>
          <t>❌</t>
        </is>
      </c>
      <c r="M13" s="14" t="n"/>
      <c r="N13" s="18" t="n"/>
    </row>
    <row r="14" ht="20" customHeight="1">
      <c r="A14" s="11" t="n">
        <v>8</v>
      </c>
      <c r="B14" s="19" t="inlineStr">
        <is>
          <t>📋 SCORECARD FOUNDER</t>
        </is>
      </c>
      <c r="C14" s="20" t="inlineStr">
        <is>
          <t>10 angka kunci yang dicek tiap minggu oleh founder</t>
        </is>
      </c>
      <c r="D14" s="14" t="n"/>
      <c r="E14" s="14" t="n"/>
      <c r="F14" s="21" t="inlineStr">
        <is>
          <t>PERLU ISI</t>
        </is>
      </c>
      <c r="G14" s="14" t="n"/>
      <c r="H14" s="14" t="n"/>
      <c r="I14" s="24" t="inlineStr">
        <is>
          <t>★★ PENTING</t>
        </is>
      </c>
      <c r="J14" s="14" t="n"/>
      <c r="K14" s="14" t="n"/>
      <c r="L14" s="23" t="inlineStr">
        <is>
          <t>❌</t>
        </is>
      </c>
      <c r="M14" s="14" t="n"/>
      <c r="N14" s="18" t="n"/>
    </row>
    <row r="15" ht="20" customHeight="1">
      <c r="A15" s="11" t="n">
        <v>9</v>
      </c>
      <c r="B15" s="19" t="inlineStr">
        <is>
          <t>🎓 KURIKULUM &amp; ALUMNI</t>
        </is>
      </c>
      <c r="C15" s="20" t="inlineStr">
        <is>
          <t>Belajar apa per bulan, target skill, jalur alumni</t>
        </is>
      </c>
      <c r="D15" s="14" t="n"/>
      <c r="E15" s="14" t="n"/>
      <c r="F15" s="21" t="inlineStr">
        <is>
          <t>PERLU ISI</t>
        </is>
      </c>
      <c r="G15" s="14" t="n"/>
      <c r="H15" s="14" t="n"/>
      <c r="I15" s="24" t="inlineStr">
        <is>
          <t>★★ PENTING</t>
        </is>
      </c>
      <c r="J15" s="14" t="n"/>
      <c r="K15" s="14" t="n"/>
      <c r="L15" s="23" t="inlineStr">
        <is>
          <t>❌</t>
        </is>
      </c>
      <c r="M15" s="14" t="n"/>
      <c r="N15" s="18" t="n"/>
    </row>
    <row r="16" ht="20" customHeight="1">
      <c r="A16" s="25" t="n">
        <v>10</v>
      </c>
      <c r="B16" s="26" t="inlineStr">
        <is>
          <t>🚀 RAB MULAI KECIL</t>
        </is>
      </c>
      <c r="C16" s="13" t="inlineStr">
        <is>
          <t>RAB per tim 5 anak, 1.000m², 2 pasang ternak</t>
        </is>
      </c>
      <c r="D16" s="14" t="n"/>
      <c r="E16" s="14" t="n"/>
      <c r="F16" s="16" t="inlineStr">
        <is>
          <t>DONE</t>
        </is>
      </c>
      <c r="G16" s="14" t="n"/>
      <c r="H16" s="14" t="n"/>
      <c r="I16" s="16" t="inlineStr">
        <is>
          <t>—</t>
        </is>
      </c>
      <c r="J16" s="14" t="n"/>
      <c r="K16" s="14" t="n"/>
      <c r="L16" s="17" t="inlineStr">
        <is>
          <t>✅</t>
        </is>
      </c>
      <c r="M16" s="14" t="n"/>
      <c r="N16" s="18" t="n"/>
    </row>
    <row r="17" ht="20" customHeight="1">
      <c r="A17" s="25" t="n">
        <v>11</v>
      </c>
      <c r="B17" s="26" t="inlineStr">
        <is>
          <t>📅 TIMELINE 12 BLN</t>
        </is>
      </c>
      <c r="C17" s="13" t="inlineStr">
        <is>
          <t>Timeline operasional bulan per bulan</t>
        </is>
      </c>
      <c r="D17" s="14" t="n"/>
      <c r="E17" s="14" t="n"/>
      <c r="F17" s="16" t="inlineStr">
        <is>
          <t>DONE</t>
        </is>
      </c>
      <c r="G17" s="14" t="n"/>
      <c r="H17" s="14" t="n"/>
      <c r="I17" s="16" t="inlineStr">
        <is>
          <t>—</t>
        </is>
      </c>
      <c r="J17" s="14" t="n"/>
      <c r="K17" s="14" t="n"/>
      <c r="L17" s="17" t="inlineStr">
        <is>
          <t>✅</t>
        </is>
      </c>
      <c r="M17" s="14" t="n"/>
      <c r="N17" s="18" t="n"/>
    </row>
    <row r="18" ht="20" customHeight="1">
      <c r="A18" s="25" t="n">
        <v>12</v>
      </c>
      <c r="B18" s="26" t="inlineStr">
        <is>
          <t>🌿 VISI MISI &amp; FILOSOFI</t>
        </is>
      </c>
      <c r="C18" s="13" t="inlineStr">
        <is>
          <t>Visi, misi 4 pilar, filosofi donasi investasi</t>
        </is>
      </c>
      <c r="D18" s="14" t="n"/>
      <c r="E18" s="14" t="n"/>
      <c r="F18" s="16" t="inlineStr">
        <is>
          <t>DONE</t>
        </is>
      </c>
      <c r="G18" s="14" t="n"/>
      <c r="H18" s="14" t="n"/>
      <c r="I18" s="16" t="inlineStr">
        <is>
          <t>—</t>
        </is>
      </c>
      <c r="J18" s="14" t="n"/>
      <c r="K18" s="14" t="n"/>
      <c r="L18" s="17" t="inlineStr">
        <is>
          <t>✅</t>
        </is>
      </c>
      <c r="M18" s="14" t="n"/>
      <c r="N18" s="18" t="n"/>
    </row>
    <row r="19" ht="20" customHeight="1">
      <c r="A19" s="25" t="n">
        <v>13</v>
      </c>
      <c r="B19" s="26" t="inlineStr">
        <is>
          <t>📊 MASTER 2 JALUR MARKET</t>
        </is>
      </c>
      <c r="C19" s="13" t="inlineStr">
        <is>
          <t>Perbandingan Plan A Ekspor vs Plan B Lokal</t>
        </is>
      </c>
      <c r="D19" s="14" t="n"/>
      <c r="E19" s="14" t="n"/>
      <c r="F19" s="16" t="inlineStr">
        <is>
          <t>DONE</t>
        </is>
      </c>
      <c r="G19" s="14" t="n"/>
      <c r="H19" s="14" t="n"/>
      <c r="I19" s="16" t="inlineStr">
        <is>
          <t>—</t>
        </is>
      </c>
      <c r="J19" s="14" t="n"/>
      <c r="K19" s="14" t="n"/>
      <c r="L19" s="17" t="inlineStr">
        <is>
          <t>✅</t>
        </is>
      </c>
      <c r="M19" s="14" t="n"/>
      <c r="N19" s="18" t="n"/>
    </row>
    <row r="20" ht="20" customHeight="1">
      <c r="A20" s="25" t="n">
        <v>14</v>
      </c>
      <c r="B20" s="26" t="inlineStr">
        <is>
          <t>⚖️ SISTEM BAGI HASIL</t>
        </is>
      </c>
      <c r="C20" s="13" t="inlineStr">
        <is>
          <t>Formula bagi hasil semua komoditi</t>
        </is>
      </c>
      <c r="D20" s="14" t="n"/>
      <c r="E20" s="14" t="n"/>
      <c r="F20" s="16" t="inlineStr">
        <is>
          <t>DONE</t>
        </is>
      </c>
      <c r="G20" s="14" t="n"/>
      <c r="H20" s="14" t="n"/>
      <c r="I20" s="16" t="inlineStr">
        <is>
          <t>—</t>
        </is>
      </c>
      <c r="J20" s="14" t="n"/>
      <c r="K20" s="14" t="n"/>
      <c r="L20" s="17" t="inlineStr">
        <is>
          <t>✅</t>
        </is>
      </c>
      <c r="M20" s="14" t="n"/>
      <c r="N20" s="18" t="n"/>
    </row>
    <row r="21" ht="20" customHeight="1">
      <c r="A21" s="25" t="n">
        <v>15</v>
      </c>
      <c r="B21" s="26" t="inlineStr">
        <is>
          <t>🫚 JAHE MERAH</t>
        </is>
      </c>
      <c r="C21" s="13" t="inlineStr">
        <is>
          <t>RAB + proyeksi Plan A Ekspor</t>
        </is>
      </c>
      <c r="D21" s="14" t="n"/>
      <c r="E21" s="14" t="n"/>
      <c r="F21" s="16" t="inlineStr">
        <is>
          <t>DONE</t>
        </is>
      </c>
      <c r="G21" s="14" t="n"/>
      <c r="H21" s="14" t="n"/>
      <c r="I21" s="16" t="inlineStr">
        <is>
          <t>—</t>
        </is>
      </c>
      <c r="J21" s="14" t="n"/>
      <c r="K21" s="14" t="n"/>
      <c r="L21" s="17" t="inlineStr">
        <is>
          <t>✅</t>
        </is>
      </c>
      <c r="M21" s="14" t="n"/>
      <c r="N21" s="18" t="n"/>
    </row>
    <row r="22" ht="20" customHeight="1">
      <c r="A22" s="25" t="n">
        <v>16</v>
      </c>
      <c r="B22" s="26" t="inlineStr">
        <is>
          <t>🌿 JAHE BIASA</t>
        </is>
      </c>
      <c r="C22" s="13" t="inlineStr">
        <is>
          <t>RAB + proyeksi Plan A Ekspor</t>
        </is>
      </c>
      <c r="D22" s="14" t="n"/>
      <c r="E22" s="14" t="n"/>
      <c r="F22" s="16" t="inlineStr">
        <is>
          <t>DONE</t>
        </is>
      </c>
      <c r="G22" s="14" t="n"/>
      <c r="H22" s="14" t="n"/>
      <c r="I22" s="16" t="inlineStr">
        <is>
          <t>—</t>
        </is>
      </c>
      <c r="J22" s="14" t="n"/>
      <c r="K22" s="14" t="n"/>
      <c r="L22" s="17" t="inlineStr">
        <is>
          <t>✅</t>
        </is>
      </c>
      <c r="M22" s="14" t="n"/>
      <c r="N22" s="18" t="n"/>
    </row>
    <row r="23" ht="20" customHeight="1">
      <c r="A23" s="25" t="n">
        <v>17</v>
      </c>
      <c r="B23" s="26" t="inlineStr">
        <is>
          <t>🌼 KUNYIT</t>
        </is>
      </c>
      <c r="C23" s="13" t="inlineStr">
        <is>
          <t>RAB + proyeksi Plan A Ekspor</t>
        </is>
      </c>
      <c r="D23" s="14" t="n"/>
      <c r="E23" s="14" t="n"/>
      <c r="F23" s="16" t="inlineStr">
        <is>
          <t>DONE</t>
        </is>
      </c>
      <c r="G23" s="14" t="n"/>
      <c r="H23" s="14" t="n"/>
      <c r="I23" s="16" t="inlineStr">
        <is>
          <t>—</t>
        </is>
      </c>
      <c r="J23" s="14" t="n"/>
      <c r="K23" s="14" t="n"/>
      <c r="L23" s="17" t="inlineStr">
        <is>
          <t>✅</t>
        </is>
      </c>
      <c r="M23" s="14" t="n"/>
      <c r="N23" s="18" t="n"/>
    </row>
    <row r="24" ht="20" customHeight="1">
      <c r="A24" s="25" t="n">
        <v>18</v>
      </c>
      <c r="B24" s="26" t="inlineStr">
        <is>
          <t>🌶️ CABAI MERAH</t>
        </is>
      </c>
      <c r="C24" s="13" t="inlineStr">
        <is>
          <t>RAB + proyeksi Plan A Ekspor</t>
        </is>
      </c>
      <c r="D24" s="14" t="n"/>
      <c r="E24" s="14" t="n"/>
      <c r="F24" s="16" t="inlineStr">
        <is>
          <t>DONE</t>
        </is>
      </c>
      <c r="G24" s="14" t="n"/>
      <c r="H24" s="14" t="n"/>
      <c r="I24" s="16" t="inlineStr">
        <is>
          <t>—</t>
        </is>
      </c>
      <c r="J24" s="14" t="n"/>
      <c r="K24" s="14" t="n"/>
      <c r="L24" s="17" t="inlineStr">
        <is>
          <t>✅</t>
        </is>
      </c>
      <c r="M24" s="14" t="n"/>
      <c r="N24" s="18" t="n"/>
    </row>
    <row r="25" ht="20" customHeight="1">
      <c r="A25" s="25" t="n">
        <v>19</v>
      </c>
      <c r="B25" s="26" t="inlineStr">
        <is>
          <t>🌾 SEREH WANGI</t>
        </is>
      </c>
      <c r="C25" s="13" t="inlineStr">
        <is>
          <t>RAB + proyeksi perennial 5 tahun</t>
        </is>
      </c>
      <c r="D25" s="14" t="n"/>
      <c r="E25" s="14" t="n"/>
      <c r="F25" s="16" t="inlineStr">
        <is>
          <t>DONE</t>
        </is>
      </c>
      <c r="G25" s="14" t="n"/>
      <c r="H25" s="14" t="n"/>
      <c r="I25" s="16" t="inlineStr">
        <is>
          <t>—</t>
        </is>
      </c>
      <c r="J25" s="14" t="n"/>
      <c r="K25" s="14" t="n"/>
      <c r="L25" s="17" t="inlineStr">
        <is>
          <t>✅</t>
        </is>
      </c>
      <c r="M25" s="14" t="n"/>
      <c r="N25" s="18" t="n"/>
    </row>
    <row r="26" ht="20" customHeight="1">
      <c r="A26" s="25" t="n">
        <v>20</v>
      </c>
      <c r="B26" s="26" t="inlineStr">
        <is>
          <t>🌱 KAPULAGA</t>
        </is>
      </c>
      <c r="C26" s="13" t="inlineStr">
        <is>
          <t>RAB + proyeksi rempah premium</t>
        </is>
      </c>
      <c r="D26" s="14" t="n"/>
      <c r="E26" s="14" t="n"/>
      <c r="F26" s="16" t="inlineStr">
        <is>
          <t>DONE</t>
        </is>
      </c>
      <c r="G26" s="14" t="n"/>
      <c r="H26" s="14" t="n"/>
      <c r="I26" s="16" t="inlineStr">
        <is>
          <t>—</t>
        </is>
      </c>
      <c r="J26" s="14" t="n"/>
      <c r="K26" s="14" t="n"/>
      <c r="L26" s="17" t="inlineStr">
        <is>
          <t>✅</t>
        </is>
      </c>
      <c r="M26" s="14" t="n"/>
      <c r="N26" s="18" t="n"/>
    </row>
    <row r="27" ht="20" customHeight="1">
      <c r="A27" s="25" t="n">
        <v>21</v>
      </c>
      <c r="B27" s="26" t="inlineStr">
        <is>
          <t>🍅 TOMAT</t>
        </is>
      </c>
      <c r="C27" s="13" t="inlineStr">
        <is>
          <t>RAB + proyeksi Plan B Lokal</t>
        </is>
      </c>
      <c r="D27" s="14" t="n"/>
      <c r="E27" s="14" t="n"/>
      <c r="F27" s="16" t="inlineStr">
        <is>
          <t>DONE</t>
        </is>
      </c>
      <c r="G27" s="14" t="n"/>
      <c r="H27" s="14" t="n"/>
      <c r="I27" s="16" t="inlineStr">
        <is>
          <t>—</t>
        </is>
      </c>
      <c r="J27" s="14" t="n"/>
      <c r="K27" s="14" t="n"/>
      <c r="L27" s="17" t="inlineStr">
        <is>
          <t>✅</t>
        </is>
      </c>
      <c r="M27" s="14" t="n"/>
      <c r="N27" s="18" t="n"/>
    </row>
    <row r="28" ht="20" customHeight="1">
      <c r="A28" s="25" t="n">
        <v>22</v>
      </c>
      <c r="B28" s="26" t="inlineStr">
        <is>
          <t>🥬 SAYUR RESTO &amp; HOTEL</t>
        </is>
      </c>
      <c r="C28" s="13" t="inlineStr">
        <is>
          <t>12 komoditi sayur, RAB infrastruktur</t>
        </is>
      </c>
      <c r="D28" s="14" t="n"/>
      <c r="E28" s="14" t="n"/>
      <c r="F28" s="16" t="inlineStr">
        <is>
          <t>DONE</t>
        </is>
      </c>
      <c r="G28" s="14" t="n"/>
      <c r="H28" s="14" t="n"/>
      <c r="I28" s="16" t="inlineStr">
        <is>
          <t>—</t>
        </is>
      </c>
      <c r="J28" s="14" t="n"/>
      <c r="K28" s="14" t="n"/>
      <c r="L28" s="17" t="inlineStr">
        <is>
          <t>✅</t>
        </is>
      </c>
      <c r="M28" s="14" t="n"/>
      <c r="N28" s="18" t="n"/>
    </row>
    <row r="29" ht="20" customHeight="1">
      <c r="A29" s="25" t="n">
        <v>23</v>
      </c>
      <c r="B29" s="26" t="inlineStr">
        <is>
          <t>🐄 SAPI 10 EKOR</t>
        </is>
      </c>
      <c r="C29" s="13" t="inlineStr">
        <is>
          <t>RAB ternak sapi</t>
        </is>
      </c>
      <c r="D29" s="14" t="n"/>
      <c r="E29" s="14" t="n"/>
      <c r="F29" s="16" t="inlineStr">
        <is>
          <t>DONE</t>
        </is>
      </c>
      <c r="G29" s="14" t="n"/>
      <c r="H29" s="14" t="n"/>
      <c r="I29" s="16" t="inlineStr">
        <is>
          <t>—</t>
        </is>
      </c>
      <c r="J29" s="14" t="n"/>
      <c r="K29" s="14" t="n"/>
      <c r="L29" s="17" t="inlineStr">
        <is>
          <t>✅</t>
        </is>
      </c>
      <c r="M29" s="14" t="n"/>
      <c r="N29" s="18" t="n"/>
    </row>
    <row r="30" ht="20" customHeight="1">
      <c r="A30" s="25" t="n">
        <v>24</v>
      </c>
      <c r="B30" s="26" t="inlineStr">
        <is>
          <t>🐷 BABI 10 EKOR</t>
        </is>
      </c>
      <c r="C30" s="13" t="inlineStr">
        <is>
          <t>RAB ternak babi</t>
        </is>
      </c>
      <c r="D30" s="14" t="n"/>
      <c r="E30" s="14" t="n"/>
      <c r="F30" s="16" t="inlineStr">
        <is>
          <t>DONE</t>
        </is>
      </c>
      <c r="G30" s="14" t="n"/>
      <c r="H30" s="14" t="n"/>
      <c r="I30" s="16" t="inlineStr">
        <is>
          <t>—</t>
        </is>
      </c>
      <c r="J30" s="14" t="n"/>
      <c r="K30" s="14" t="n"/>
      <c r="L30" s="17" t="inlineStr">
        <is>
          <t>✅</t>
        </is>
      </c>
      <c r="M30" s="14" t="n"/>
      <c r="N30" s="18" t="n"/>
    </row>
    <row r="31" ht="20" customHeight="1">
      <c r="A31" s="25" t="n">
        <v>25</v>
      </c>
      <c r="B31" s="26" t="inlineStr">
        <is>
          <t>👦 PROGRAM &amp; PERKEMBANGAN</t>
        </is>
      </c>
      <c r="C31" s="13" t="inlineStr">
        <is>
          <t>Tracker anak binaan, nilai, skill, laporan</t>
        </is>
      </c>
      <c r="D31" s="14" t="n"/>
      <c r="E31" s="14" t="n"/>
      <c r="F31" s="16" t="inlineStr">
        <is>
          <t>DONE</t>
        </is>
      </c>
      <c r="G31" s="14" t="n"/>
      <c r="H31" s="14" t="n"/>
      <c r="I31" s="16" t="inlineStr">
        <is>
          <t>—</t>
        </is>
      </c>
      <c r="J31" s="14" t="n"/>
      <c r="K31" s="14" t="n"/>
      <c r="L31" s="17" t="inlineStr">
        <is>
          <t>✅</t>
        </is>
      </c>
      <c r="M31" s="14" t="n"/>
      <c r="N31" s="18" t="n"/>
    </row>
    <row r="32" ht="20" customHeight="1">
      <c r="A32" s="25" t="n">
        <v>26</v>
      </c>
      <c r="B32" s="26" t="inlineStr">
        <is>
          <t>🤝 RELAWAN &amp; MENTOR</t>
        </is>
      </c>
      <c r="C32" s="13" t="inlineStr">
        <is>
          <t>Database relawan, MOU, form online</t>
        </is>
      </c>
      <c r="D32" s="14" t="n"/>
      <c r="E32" s="14" t="n"/>
      <c r="F32" s="16" t="inlineStr">
        <is>
          <t>DONE</t>
        </is>
      </c>
      <c r="G32" s="14" t="n"/>
      <c r="H32" s="14" t="n"/>
      <c r="I32" s="16" t="inlineStr">
        <is>
          <t>—</t>
        </is>
      </c>
      <c r="J32" s="14" t="n"/>
      <c r="K32" s="14" t="n"/>
      <c r="L32" s="17" t="inlineStr">
        <is>
          <t>✅</t>
        </is>
      </c>
      <c r="M32" s="14" t="n"/>
      <c r="N32" s="18" t="n"/>
    </row>
    <row r="33" ht="20" customHeight="1">
      <c r="A33" s="25" t="n">
        <v>27</v>
      </c>
      <c r="B33" s="26" t="inlineStr">
        <is>
          <t>⚡ LISTRIK AIR ENERGI</t>
        </is>
      </c>
      <c r="C33" s="13" t="inlineStr">
        <is>
          <t>RAB solar, sumur bor, tracker konsumsi</t>
        </is>
      </c>
      <c r="D33" s="14" t="n"/>
      <c r="E33" s="14" t="n"/>
      <c r="F33" s="16" t="inlineStr">
        <is>
          <t>DONE</t>
        </is>
      </c>
      <c r="G33" s="14" t="n"/>
      <c r="H33" s="14" t="n"/>
      <c r="I33" s="16" t="inlineStr">
        <is>
          <t>—</t>
        </is>
      </c>
      <c r="J33" s="14" t="n"/>
      <c r="K33" s="14" t="n"/>
      <c r="L33" s="17" t="inlineStr">
        <is>
          <t>✅</t>
        </is>
      </c>
      <c r="M33" s="14" t="n"/>
      <c r="N33" s="18" t="n"/>
    </row>
    <row r="34" ht="20" customHeight="1">
      <c r="A34" s="25" t="n">
        <v>28</v>
      </c>
      <c r="B34" s="26" t="inlineStr">
        <is>
          <t>🧠 PROGRAM PSIKOLOGI</t>
        </is>
      </c>
      <c r="C34" s="13" t="inlineStr">
        <is>
          <t>Jadwal, tracker konseling, penilaian psikologis</t>
        </is>
      </c>
      <c r="D34" s="14" t="n"/>
      <c r="E34" s="14" t="n"/>
      <c r="F34" s="16" t="inlineStr">
        <is>
          <t>DONE</t>
        </is>
      </c>
      <c r="G34" s="14" t="n"/>
      <c r="H34" s="14" t="n"/>
      <c r="I34" s="16" t="inlineStr">
        <is>
          <t>—</t>
        </is>
      </c>
      <c r="J34" s="14" t="n"/>
      <c r="K34" s="14" t="n"/>
      <c r="L34" s="17" t="inlineStr">
        <is>
          <t>✅</t>
        </is>
      </c>
      <c r="M34" s="14" t="n"/>
      <c r="N34" s="18" t="n"/>
    </row>
    <row r="35" ht="20" customHeight="1">
      <c r="A35" s="25" t="n">
        <v>29</v>
      </c>
      <c r="B35" s="26" t="inlineStr">
        <is>
          <t>🌱 PERTANIAN ORGANIK SOP</t>
        </is>
      </c>
      <c r="C35" s="13" t="inlineStr">
        <is>
          <t>Pupuk &amp; pestisida nabati, logbook kebun</t>
        </is>
      </c>
      <c r="D35" s="14" t="n"/>
      <c r="E35" s="14" t="n"/>
      <c r="F35" s="16" t="inlineStr">
        <is>
          <t>DONE</t>
        </is>
      </c>
      <c r="G35" s="14" t="n"/>
      <c r="H35" s="14" t="n"/>
      <c r="I35" s="16" t="inlineStr">
        <is>
          <t>—</t>
        </is>
      </c>
      <c r="J35" s="14" t="n"/>
      <c r="K35" s="14" t="n"/>
      <c r="L35" s="17" t="inlineStr">
        <is>
          <t>✅</t>
        </is>
      </c>
      <c r="M35" s="14" t="n"/>
      <c r="N35" s="18" t="n"/>
    </row>
    <row r="36" ht="20" customHeight="1">
      <c r="A36" s="25" t="n">
        <v>30</v>
      </c>
      <c r="B36" s="26" t="inlineStr">
        <is>
          <t>🌏 EKSPANSI INTERNASIONAL</t>
        </is>
      </c>
      <c r="C36" s="13" t="inlineStr">
        <is>
          <t>10 grant internasional, SDGs alignment</t>
        </is>
      </c>
      <c r="D36" s="14" t="n"/>
      <c r="E36" s="14" t="n"/>
      <c r="F36" s="16" t="inlineStr">
        <is>
          <t>DONE</t>
        </is>
      </c>
      <c r="G36" s="14" t="n"/>
      <c r="H36" s="14" t="n"/>
      <c r="I36" s="16" t="inlineStr">
        <is>
          <t>—</t>
        </is>
      </c>
      <c r="J36" s="14" t="n"/>
      <c r="K36" s="14" t="n"/>
      <c r="L36" s="17" t="inlineStr">
        <is>
          <t>✅</t>
        </is>
      </c>
      <c r="M36" s="14" t="n"/>
      <c r="N36" s="18" t="n"/>
    </row>
    <row r="38">
      <c r="A38" s="27" t="inlineStr">
        <is>
          <t xml:space="preserve">  🎯 TARGET: Isi semua sel merah (sheet 2–9) → Total 30 sheet siap → Bawa ke investor dengan confidence 100%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8" t="n"/>
    </row>
  </sheetData>
  <mergeCells count="128">
    <mergeCell ref="I32:K32"/>
    <mergeCell ref="L33:N33"/>
    <mergeCell ref="F36:H36"/>
    <mergeCell ref="F18:H18"/>
    <mergeCell ref="F33:H33"/>
    <mergeCell ref="C31:E31"/>
    <mergeCell ref="F8:H8"/>
    <mergeCell ref="F17:H17"/>
    <mergeCell ref="L35:N35"/>
    <mergeCell ref="C21:E21"/>
    <mergeCell ref="I24:K24"/>
    <mergeCell ref="L25:N25"/>
    <mergeCell ref="F22:H22"/>
    <mergeCell ref="F31:H31"/>
    <mergeCell ref="C23:E23"/>
    <mergeCell ref="I8:K8"/>
    <mergeCell ref="L9:N9"/>
    <mergeCell ref="I17:K17"/>
    <mergeCell ref="F9:H9"/>
    <mergeCell ref="C7:E7"/>
    <mergeCell ref="I10:K10"/>
    <mergeCell ref="L11:N11"/>
    <mergeCell ref="F14:H14"/>
    <mergeCell ref="C18:E18"/>
    <mergeCell ref="I34:K34"/>
    <mergeCell ref="C34:E34"/>
    <mergeCell ref="L32:N32"/>
    <mergeCell ref="I36:K36"/>
    <mergeCell ref="L13:N13"/>
    <mergeCell ref="F12:H12"/>
    <mergeCell ref="F7:H7"/>
    <mergeCell ref="C20:E20"/>
    <mergeCell ref="F21:H21"/>
    <mergeCell ref="C25:E25"/>
    <mergeCell ref="L15:N15"/>
    <mergeCell ref="L24:N24"/>
    <mergeCell ref="I22:K22"/>
    <mergeCell ref="L18:N18"/>
    <mergeCell ref="I28:K28"/>
    <mergeCell ref="C22:E22"/>
    <mergeCell ref="F35:H35"/>
    <mergeCell ref="L8:N8"/>
    <mergeCell ref="I12:K12"/>
    <mergeCell ref="I21:K21"/>
    <mergeCell ref="L26:N26"/>
    <mergeCell ref="C12:E12"/>
    <mergeCell ref="A1:N1"/>
    <mergeCell ref="L10:N10"/>
    <mergeCell ref="I14:K14"/>
    <mergeCell ref="F27:H27"/>
    <mergeCell ref="I23:K23"/>
    <mergeCell ref="L34:N34"/>
    <mergeCell ref="C32:E32"/>
    <mergeCell ref="C13:E13"/>
    <mergeCell ref="L36:N36"/>
    <mergeCell ref="F29:H29"/>
    <mergeCell ref="C15:E15"/>
    <mergeCell ref="F11:H11"/>
    <mergeCell ref="C24:E24"/>
    <mergeCell ref="F25:H25"/>
    <mergeCell ref="C33:E33"/>
    <mergeCell ref="A4:N4"/>
    <mergeCell ref="I27:K27"/>
    <mergeCell ref="L28:N28"/>
    <mergeCell ref="A38:N38"/>
    <mergeCell ref="C26:E26"/>
    <mergeCell ref="L12:N12"/>
    <mergeCell ref="C35:E35"/>
    <mergeCell ref="F15:H15"/>
    <mergeCell ref="F24:H24"/>
    <mergeCell ref="C10:E10"/>
    <mergeCell ref="C16:E16"/>
    <mergeCell ref="I25:K25"/>
    <mergeCell ref="L14:N14"/>
    <mergeCell ref="L23:N23"/>
    <mergeCell ref="C9:E9"/>
    <mergeCell ref="F32:H32"/>
    <mergeCell ref="F26:H26"/>
    <mergeCell ref="F23:H23"/>
    <mergeCell ref="C36:E36"/>
    <mergeCell ref="C11:E11"/>
    <mergeCell ref="F13:H13"/>
    <mergeCell ref="I20:K20"/>
    <mergeCell ref="I29:K29"/>
    <mergeCell ref="C28:E28"/>
    <mergeCell ref="I13:K13"/>
    <mergeCell ref="A2:N2"/>
    <mergeCell ref="L27:N27"/>
    <mergeCell ref="I31:K31"/>
    <mergeCell ref="C30:E30"/>
    <mergeCell ref="L17:N17"/>
    <mergeCell ref="I15:K15"/>
    <mergeCell ref="C6:E6"/>
    <mergeCell ref="F34:H34"/>
    <mergeCell ref="F16:H16"/>
    <mergeCell ref="C14:E14"/>
    <mergeCell ref="F6:H6"/>
    <mergeCell ref="L19:N19"/>
    <mergeCell ref="I26:K26"/>
    <mergeCell ref="F30:H30"/>
    <mergeCell ref="I7:K7"/>
    <mergeCell ref="F20:H20"/>
    <mergeCell ref="I16:K16"/>
    <mergeCell ref="L30:N30"/>
    <mergeCell ref="I18:K18"/>
    <mergeCell ref="L20:N20"/>
    <mergeCell ref="L29:N29"/>
    <mergeCell ref="I33:K33"/>
    <mergeCell ref="C27:E27"/>
    <mergeCell ref="F28:H28"/>
    <mergeCell ref="L22:N22"/>
    <mergeCell ref="C8:E8"/>
    <mergeCell ref="L31:N31"/>
    <mergeCell ref="C17:E17"/>
    <mergeCell ref="I35:K35"/>
    <mergeCell ref="L6:N6"/>
    <mergeCell ref="L21:N21"/>
    <mergeCell ref="I19:K19"/>
    <mergeCell ref="C19:E19"/>
    <mergeCell ref="I9:K9"/>
    <mergeCell ref="I30:K30"/>
    <mergeCell ref="I6:K6"/>
    <mergeCell ref="L7:N7"/>
    <mergeCell ref="F10:H10"/>
    <mergeCell ref="I11:K11"/>
    <mergeCell ref="L16:N16"/>
    <mergeCell ref="F19:H19"/>
    <mergeCell ref="C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44" customHeight="1">
      <c r="A1" s="1" t="inlineStr">
        <is>
          <t>📊 EXECUTIVE SUMMARY — NAWA CAHAYA (1-PAGER INVESTOR)</t>
        </is>
      </c>
    </row>
    <row r="2" ht="18" customHeight="1">
      <c r="A2" s="2" t="inlineStr">
        <is>
          <t>Isi sel merah → semua angka terhitung otomatis → 1 halaman untuk opening meeting investor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2" customHeight="1">
      <c r="A5" s="29" t="inlineStr">
        <is>
          <t>A. IDENTITAS BISNIS — ISI SEMUA SEL MERAH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8" t="n"/>
    </row>
    <row r="6" ht="20" customHeight="1">
      <c r="A6" s="30" t="inlineStr">
        <is>
          <t>Nama Yayasan</t>
        </is>
      </c>
      <c r="B6" s="14" t="n"/>
      <c r="C6" s="12" t="inlineStr">
        <is>
          <t>Yayasan Nawa Cahaya</t>
        </is>
      </c>
      <c r="D6" s="14" t="n"/>
      <c r="E6" s="14" t="n"/>
      <c r="F6" s="14" t="n"/>
      <c r="G6" s="14" t="n"/>
      <c r="H6" s="14" t="n"/>
      <c r="I6" s="16" t="inlineStr">
        <is>
          <t>✅ Sudah</t>
        </is>
      </c>
      <c r="J6" s="14" t="n"/>
      <c r="K6" s="14" t="n"/>
      <c r="L6" s="14" t="n"/>
      <c r="M6" s="14" t="n"/>
      <c r="N6" s="18" t="n"/>
    </row>
    <row r="7" ht="20" customHeight="1">
      <c r="A7" s="30" t="inlineStr">
        <is>
          <t>Domisili</t>
        </is>
      </c>
      <c r="B7" s="14" t="n"/>
      <c r="C7" s="12" t="inlineStr">
        <is>
          <t>Bogor, Jawa Barat</t>
        </is>
      </c>
      <c r="D7" s="14" t="n"/>
      <c r="E7" s="14" t="n"/>
      <c r="F7" s="14" t="n"/>
      <c r="G7" s="14" t="n"/>
      <c r="H7" s="14" t="n"/>
      <c r="I7" s="16" t="inlineStr">
        <is>
          <t>✅ Sudah</t>
        </is>
      </c>
      <c r="J7" s="14" t="n"/>
      <c r="K7" s="14" t="n"/>
      <c r="L7" s="14" t="n"/>
      <c r="M7" s="14" t="n"/>
      <c r="N7" s="18" t="n"/>
    </row>
    <row r="8" ht="20" customHeight="1">
      <c r="A8" s="30" t="inlineStr">
        <is>
          <t>Tanggal Berdiri</t>
        </is>
      </c>
      <c r="B8" s="14" t="n"/>
      <c r="C8" s="31" t="inlineStr">
        <is>
          <t>← ISI TGL AKTA NOTARIS</t>
        </is>
      </c>
      <c r="D8" s="14" t="n"/>
      <c r="E8" s="14" t="n"/>
      <c r="F8" s="14" t="n"/>
      <c r="G8" s="14" t="n"/>
      <c r="H8" s="14" t="n"/>
      <c r="I8" s="22" t="inlineStr">
        <is>
          <t>🔴 WAJIB ISI</t>
        </is>
      </c>
      <c r="J8" s="14" t="n"/>
      <c r="K8" s="14" t="n"/>
      <c r="L8" s="14" t="n"/>
      <c r="M8" s="14" t="n"/>
      <c r="N8" s="18" t="n"/>
    </row>
    <row r="9" ht="20" customHeight="1">
      <c r="A9" s="30" t="inlineStr">
        <is>
          <t>No. Akta Notaris</t>
        </is>
      </c>
      <c r="B9" s="14" t="n"/>
      <c r="C9" s="31" t="inlineStr">
        <is>
          <t>← ISI NOMOR AKTA</t>
        </is>
      </c>
      <c r="D9" s="14" t="n"/>
      <c r="E9" s="14" t="n"/>
      <c r="F9" s="14" t="n"/>
      <c r="G9" s="14" t="n"/>
      <c r="H9" s="14" t="n"/>
      <c r="I9" s="22" t="inlineStr">
        <is>
          <t>🔴 WAJIB ISI</t>
        </is>
      </c>
      <c r="J9" s="14" t="n"/>
      <c r="K9" s="14" t="n"/>
      <c r="L9" s="14" t="n"/>
      <c r="M9" s="14" t="n"/>
      <c r="N9" s="18" t="n"/>
    </row>
    <row r="10" ht="20" customHeight="1">
      <c r="A10" s="30" t="inlineStr">
        <is>
          <t>NPWP Yayasan</t>
        </is>
      </c>
      <c r="B10" s="14" t="n"/>
      <c r="C10" s="31" t="inlineStr">
        <is>
          <t>← ISI NOMOR NPWP</t>
        </is>
      </c>
      <c r="D10" s="14" t="n"/>
      <c r="E10" s="14" t="n"/>
      <c r="F10" s="14" t="n"/>
      <c r="G10" s="14" t="n"/>
      <c r="H10" s="14" t="n"/>
      <c r="I10" s="22" t="inlineStr">
        <is>
          <t>🔴 WAJIB ISI</t>
        </is>
      </c>
      <c r="J10" s="14" t="n"/>
      <c r="K10" s="14" t="n"/>
      <c r="L10" s="14" t="n"/>
      <c r="M10" s="14" t="n"/>
      <c r="N10" s="18" t="n"/>
    </row>
    <row r="11" ht="20" customHeight="1">
      <c r="A11" s="30" t="inlineStr">
        <is>
          <t>Rekening Bank</t>
        </is>
      </c>
      <c r="B11" s="14" t="n"/>
      <c r="C11" s="31" t="inlineStr">
        <is>
          <t>← ISI NO. REK + BANK</t>
        </is>
      </c>
      <c r="D11" s="14" t="n"/>
      <c r="E11" s="14" t="n"/>
      <c r="F11" s="14" t="n"/>
      <c r="G11" s="14" t="n"/>
      <c r="H11" s="14" t="n"/>
      <c r="I11" s="22" t="inlineStr">
        <is>
          <t>🔴 WAJIB ISI</t>
        </is>
      </c>
      <c r="J11" s="14" t="n"/>
      <c r="K11" s="14" t="n"/>
      <c r="L11" s="14" t="n"/>
      <c r="M11" s="14" t="n"/>
      <c r="N11" s="18" t="n"/>
    </row>
    <row r="12" ht="20" customHeight="1">
      <c r="A12" s="30" t="inlineStr">
        <is>
          <t>Website</t>
        </is>
      </c>
      <c r="B12" s="14" t="n"/>
      <c r="C12" s="12" t="inlineStr">
        <is>
          <t>nawa-cahaya-dashboard.vercel.app</t>
        </is>
      </c>
      <c r="D12" s="14" t="n"/>
      <c r="E12" s="14" t="n"/>
      <c r="F12" s="14" t="n"/>
      <c r="G12" s="14" t="n"/>
      <c r="H12" s="14" t="n"/>
      <c r="I12" s="16" t="inlineStr">
        <is>
          <t>✅ Sudah</t>
        </is>
      </c>
      <c r="J12" s="14" t="n"/>
      <c r="K12" s="14" t="n"/>
      <c r="L12" s="14" t="n"/>
      <c r="M12" s="14" t="n"/>
      <c r="N12" s="18" t="n"/>
    </row>
    <row r="13" ht="20" customHeight="1">
      <c r="A13" s="30" t="inlineStr">
        <is>
          <t>Email Resmi</t>
        </is>
      </c>
      <c r="B13" s="14" t="n"/>
      <c r="C13" s="12" t="inlineStr">
        <is>
          <t>nawacahaya.foundation@gmail.com</t>
        </is>
      </c>
      <c r="D13" s="14" t="n"/>
      <c r="E13" s="14" t="n"/>
      <c r="F13" s="14" t="n"/>
      <c r="G13" s="14" t="n"/>
      <c r="H13" s="14" t="n"/>
      <c r="I13" s="16" t="inlineStr">
        <is>
          <t>✅ Sudah</t>
        </is>
      </c>
      <c r="J13" s="14" t="n"/>
      <c r="K13" s="14" t="n"/>
      <c r="L13" s="14" t="n"/>
      <c r="M13" s="14" t="n"/>
      <c r="N13" s="18" t="n"/>
    </row>
    <row r="14" ht="20" customHeight="1">
      <c r="A14" s="30" t="inlineStr">
        <is>
          <t>Founder</t>
        </is>
      </c>
      <c r="B14" s="14" t="n"/>
      <c r="C14" s="31" t="inlineStr">
        <is>
          <t>← ISI NAMA LENGKAP LO</t>
        </is>
      </c>
      <c r="D14" s="14" t="n"/>
      <c r="E14" s="14" t="n"/>
      <c r="F14" s="14" t="n"/>
      <c r="G14" s="14" t="n"/>
      <c r="H14" s="14" t="n"/>
      <c r="I14" s="22" t="inlineStr">
        <is>
          <t>🔴 WAJIB ISI</t>
        </is>
      </c>
      <c r="J14" s="14" t="n"/>
      <c r="K14" s="14" t="n"/>
      <c r="L14" s="14" t="n"/>
      <c r="M14" s="14" t="n"/>
      <c r="N14" s="18" t="n"/>
    </row>
    <row r="15" ht="20" customHeight="1">
      <c r="A15" s="30" t="inlineStr">
        <is>
          <t>No. HP Founder</t>
        </is>
      </c>
      <c r="B15" s="14" t="n"/>
      <c r="C15" s="31" t="inlineStr">
        <is>
          <t>← ISI NOMOR WA</t>
        </is>
      </c>
      <c r="D15" s="14" t="n"/>
      <c r="E15" s="14" t="n"/>
      <c r="F15" s="14" t="n"/>
      <c r="G15" s="14" t="n"/>
      <c r="H15" s="14" t="n"/>
      <c r="I15" s="22" t="inlineStr">
        <is>
          <t>🔴 WAJIB ISI</t>
        </is>
      </c>
      <c r="J15" s="14" t="n"/>
      <c r="K15" s="14" t="n"/>
      <c r="L15" s="14" t="n"/>
      <c r="M15" s="14" t="n"/>
      <c r="N15" s="18" t="n"/>
    </row>
    <row r="17" ht="22" customHeight="1">
      <c r="A17" s="29" t="inlineStr">
        <is>
          <t>B. MODEL BISNIS — RINGKASAN UNTUK INVESTOR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8" t="n"/>
    </row>
    <row r="18" ht="20" customHeight="1">
      <c r="A18" s="32" t="inlineStr">
        <is>
          <t>Model</t>
        </is>
      </c>
      <c r="B18" s="14" t="n"/>
      <c r="C18" s="26" t="inlineStr">
        <is>
          <t>Donasi Investasi · Bukan santunan · Bagi hasil dari usaha produktif</t>
        </is>
      </c>
      <c r="D18" s="14" t="n"/>
      <c r="E18" s="14" t="n"/>
      <c r="F18" s="14" t="n"/>
      <c r="G18" s="14" t="n"/>
      <c r="H18" s="14" t="n"/>
      <c r="I18" s="14" t="n"/>
      <c r="J18" s="14" t="n"/>
      <c r="K18" s="16" t="inlineStr">
        <is>
          <t>✅ DONE</t>
        </is>
      </c>
      <c r="L18" s="14" t="n"/>
      <c r="M18" s="14" t="n"/>
      <c r="N18" s="18" t="n"/>
    </row>
    <row r="19" ht="20" customHeight="1">
      <c r="A19" s="32" t="inlineStr">
        <is>
          <t>3 Pilar</t>
        </is>
      </c>
      <c r="B19" s="14" t="n"/>
      <c r="C19" s="26" t="inlineStr">
        <is>
          <t>Kasih (Pendidikan) · Menjaga (Skill) · Membentuk (Usaha Mandiri)</t>
        </is>
      </c>
      <c r="D19" s="14" t="n"/>
      <c r="E19" s="14" t="n"/>
      <c r="F19" s="14" t="n"/>
      <c r="G19" s="14" t="n"/>
      <c r="H19" s="14" t="n"/>
      <c r="I19" s="14" t="n"/>
      <c r="J19" s="14" t="n"/>
      <c r="K19" s="16" t="inlineStr">
        <is>
          <t>✅ DONE</t>
        </is>
      </c>
      <c r="L19" s="14" t="n"/>
      <c r="M19" s="14" t="n"/>
      <c r="N19" s="18" t="n"/>
    </row>
    <row r="20" ht="20" customHeight="1">
      <c r="A20" s="32" t="inlineStr">
        <is>
          <t>Target Anak</t>
        </is>
      </c>
      <c r="B20" s="14" t="n"/>
      <c r="C20" s="31" t="inlineStr">
        <is>
          <t>← BERAPA ANAK BINAAN TARGET TAHUN 1?</t>
        </is>
      </c>
      <c r="D20" s="14" t="n"/>
      <c r="E20" s="14" t="n"/>
      <c r="F20" s="14" t="n"/>
      <c r="G20" s="14" t="n"/>
      <c r="H20" s="14" t="n"/>
      <c r="I20" s="14" t="n"/>
      <c r="J20" s="14" t="n"/>
      <c r="K20" s="22" t="inlineStr">
        <is>
          <t>🔴 ISI</t>
        </is>
      </c>
      <c r="L20" s="14" t="n"/>
      <c r="M20" s="14" t="n"/>
      <c r="N20" s="18" t="n"/>
    </row>
    <row r="21" ht="20" customHeight="1">
      <c r="A21" s="32" t="inlineStr">
        <is>
          <t>Lahan</t>
        </is>
      </c>
      <c r="B21" s="14" t="n"/>
      <c r="C21" s="26" t="inlineStr">
        <is>
          <t>1.000 m² per Tim · Skala awal 1 Tim</t>
        </is>
      </c>
      <c r="D21" s="14" t="n"/>
      <c r="E21" s="14" t="n"/>
      <c r="F21" s="14" t="n"/>
      <c r="G21" s="14" t="n"/>
      <c r="H21" s="14" t="n"/>
      <c r="I21" s="14" t="n"/>
      <c r="J21" s="14" t="n"/>
      <c r="K21" s="16" t="inlineStr">
        <is>
          <t>✅ DONE</t>
        </is>
      </c>
      <c r="L21" s="14" t="n"/>
      <c r="M21" s="14" t="n"/>
      <c r="N21" s="18" t="n"/>
    </row>
    <row r="22" ht="20" customHeight="1">
      <c r="A22" s="32" t="inlineStr">
        <is>
          <t>Komoditi Utama</t>
        </is>
      </c>
      <c r="B22" s="14" t="n"/>
      <c r="C22" s="26" t="inlineStr">
        <is>
          <t>Ekspor: Jahe Merah, Kunyit, Sereh, Kapulaga · Lokal: Sayur Resto, Ternak</t>
        </is>
      </c>
      <c r="D22" s="14" t="n"/>
      <c r="E22" s="14" t="n"/>
      <c r="F22" s="14" t="n"/>
      <c r="G22" s="14" t="n"/>
      <c r="H22" s="14" t="n"/>
      <c r="I22" s="14" t="n"/>
      <c r="J22" s="14" t="n"/>
      <c r="K22" s="16" t="inlineStr">
        <is>
          <t>✅ DONE</t>
        </is>
      </c>
      <c r="L22" s="14" t="n"/>
      <c r="M22" s="14" t="n"/>
      <c r="N22" s="18" t="n"/>
    </row>
    <row r="23" ht="20" customHeight="1">
      <c r="A23" s="32" t="inlineStr">
        <is>
          <t>Bagi Hasil</t>
        </is>
      </c>
      <c r="B23" s="14" t="n"/>
      <c r="C23" s="26" t="inlineStr">
        <is>
          <t>Yayasan 40% · Donatur 10% · Tenaga Lokal 40% · Anak 3% · Mgt 7%</t>
        </is>
      </c>
      <c r="D23" s="14" t="n"/>
      <c r="E23" s="14" t="n"/>
      <c r="F23" s="14" t="n"/>
      <c r="G23" s="14" t="n"/>
      <c r="H23" s="14" t="n"/>
      <c r="I23" s="14" t="n"/>
      <c r="J23" s="14" t="n"/>
      <c r="K23" s="16" t="inlineStr">
        <is>
          <t>✅ DONE</t>
        </is>
      </c>
      <c r="L23" s="14" t="n"/>
      <c r="M23" s="14" t="n"/>
      <c r="N23" s="18" t="n"/>
    </row>
    <row r="24" ht="20" customHeight="1">
      <c r="A24" s="32" t="inlineStr">
        <is>
          <t>Transparansi</t>
        </is>
      </c>
      <c r="B24" s="14" t="n"/>
      <c r="C24" s="26" t="inlineStr">
        <is>
          <t>100% open — dashboard live 24/7 · nawacahaya.vercel.app</t>
        </is>
      </c>
      <c r="D24" s="14" t="n"/>
      <c r="E24" s="14" t="n"/>
      <c r="F24" s="14" t="n"/>
      <c r="G24" s="14" t="n"/>
      <c r="H24" s="14" t="n"/>
      <c r="I24" s="14" t="n"/>
      <c r="J24" s="14" t="n"/>
      <c r="K24" s="16" t="inlineStr">
        <is>
          <t>✅ DONE</t>
        </is>
      </c>
      <c r="L24" s="14" t="n"/>
      <c r="M24" s="14" t="n"/>
      <c r="N24" s="18" t="n"/>
    </row>
    <row r="25" ht="20" customHeight="1">
      <c r="A25" s="32" t="inlineStr">
        <is>
          <t>Unique Value</t>
        </is>
      </c>
      <c r="B25" s="14" t="n"/>
      <c r="C25" s="26" t="inlineStr">
        <is>
          <t>Satu-satunya yayasan dengan model Donasi Investasi + Transparansi Real-Time</t>
        </is>
      </c>
      <c r="D25" s="14" t="n"/>
      <c r="E25" s="14" t="n"/>
      <c r="F25" s="14" t="n"/>
      <c r="G25" s="14" t="n"/>
      <c r="H25" s="14" t="n"/>
      <c r="I25" s="14" t="n"/>
      <c r="J25" s="14" t="n"/>
      <c r="K25" s="16" t="inlineStr">
        <is>
          <t>✅ DONE</t>
        </is>
      </c>
      <c r="L25" s="14" t="n"/>
      <c r="M25" s="14" t="n"/>
      <c r="N25" s="18" t="n"/>
    </row>
    <row r="27" ht="22" customHeight="1">
      <c r="A27" s="29" t="inlineStr">
        <is>
          <t>C. ANGKA KUNCI FINANSIAL — INVESTOR SELALU TANYA INI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8" t="n"/>
    </row>
    <row r="28" ht="22" customHeight="1">
      <c r="A28" s="33" t="inlineStr">
        <is>
          <t xml:space="preserve">  ⚠️ Isi angka nyata. Angka yang tidak realistis lebih merusak kepercayaan daripada angka kecil yang jujur.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8" t="n"/>
    </row>
    <row r="29" ht="20" customHeight="1">
      <c r="A29" s="32" t="inlineStr">
        <is>
          <t>Total Investasi Dibutuhkan (Fase 1)</t>
        </is>
      </c>
      <c r="B29" s="14" t="n"/>
      <c r="C29" s="14" t="n"/>
      <c r="D29" s="31" t="inlineStr">
        <is>
          <t>← ISI TOTAL Rp (dari Cash Flow)</t>
        </is>
      </c>
      <c r="E29" s="14" t="n"/>
      <c r="F29" s="14" t="n"/>
      <c r="G29" s="14" t="n"/>
      <c r="H29" s="14" t="n"/>
      <c r="I29" s="14" t="n"/>
      <c r="J29" s="14" t="n"/>
      <c r="K29" s="22" t="inlineStr">
        <is>
          <t>🔴 ISI</t>
        </is>
      </c>
      <c r="L29" s="14" t="n"/>
      <c r="M29" s="14" t="n"/>
      <c r="N29" s="18" t="n"/>
    </row>
    <row r="30" ht="20" customHeight="1">
      <c r="A30" s="32" t="inlineStr">
        <is>
          <t>Target Donasi Terkumpul Tahun 1</t>
        </is>
      </c>
      <c r="B30" s="14" t="n"/>
      <c r="C30" s="14" t="n"/>
      <c r="D30" s="31" t="inlineStr">
        <is>
          <t>← ISI TARGET Rp</t>
        </is>
      </c>
      <c r="E30" s="14" t="n"/>
      <c r="F30" s="14" t="n"/>
      <c r="G30" s="14" t="n"/>
      <c r="H30" s="14" t="n"/>
      <c r="I30" s="14" t="n"/>
      <c r="J30" s="14" t="n"/>
      <c r="K30" s="22" t="inlineStr">
        <is>
          <t>🔴 ISI</t>
        </is>
      </c>
      <c r="L30" s="14" t="n"/>
      <c r="M30" s="14" t="n"/>
      <c r="N30" s="18" t="n"/>
    </row>
    <row r="31" ht="20" customHeight="1">
      <c r="A31" s="32" t="inlineStr">
        <is>
          <t>Proyeksi Revenue Tahun 1 (konservatif)</t>
        </is>
      </c>
      <c r="B31" s="14" t="n"/>
      <c r="C31" s="14" t="n"/>
      <c r="D31" s="31" t="inlineStr">
        <is>
          <t>← ISI Rp (dari P&amp;L)</t>
        </is>
      </c>
      <c r="E31" s="14" t="n"/>
      <c r="F31" s="14" t="n"/>
      <c r="G31" s="14" t="n"/>
      <c r="H31" s="14" t="n"/>
      <c r="I31" s="14" t="n"/>
      <c r="J31" s="14" t="n"/>
      <c r="K31" s="22" t="inlineStr">
        <is>
          <t>🔴 ISI</t>
        </is>
      </c>
      <c r="L31" s="14" t="n"/>
      <c r="M31" s="14" t="n"/>
      <c r="N31" s="18" t="n"/>
    </row>
    <row r="32" ht="20" customHeight="1">
      <c r="A32" s="32" t="inlineStr">
        <is>
          <t>Proyeksi Revenue Tahun 2</t>
        </is>
      </c>
      <c r="B32" s="14" t="n"/>
      <c r="C32" s="14" t="n"/>
      <c r="D32" s="31" t="inlineStr">
        <is>
          <t>← ISI Rp</t>
        </is>
      </c>
      <c r="E32" s="14" t="n"/>
      <c r="F32" s="14" t="n"/>
      <c r="G32" s="14" t="n"/>
      <c r="H32" s="14" t="n"/>
      <c r="I32" s="14" t="n"/>
      <c r="J32" s="14" t="n"/>
      <c r="K32" s="22" t="inlineStr">
        <is>
          <t>🔴 ISI</t>
        </is>
      </c>
      <c r="L32" s="14" t="n"/>
      <c r="M32" s="14" t="n"/>
      <c r="N32" s="18" t="n"/>
    </row>
    <row r="33" ht="20" customHeight="1">
      <c r="A33" s="32" t="inlineStr">
        <is>
          <t>Break Even Point (BEP)</t>
        </is>
      </c>
      <c r="B33" s="14" t="n"/>
      <c r="C33" s="14" t="n"/>
      <c r="D33" s="31" t="inlineStr">
        <is>
          <t>← BULAN KE BERAPA BALIK MODAL?</t>
        </is>
      </c>
      <c r="E33" s="14" t="n"/>
      <c r="F33" s="14" t="n"/>
      <c r="G33" s="14" t="n"/>
      <c r="H33" s="14" t="n"/>
      <c r="I33" s="14" t="n"/>
      <c r="J33" s="14" t="n"/>
      <c r="K33" s="22" t="inlineStr">
        <is>
          <t>🔴 ISI</t>
        </is>
      </c>
      <c r="L33" s="14" t="n"/>
      <c r="M33" s="14" t="n"/>
      <c r="N33" s="18" t="n"/>
    </row>
    <row r="34" ht="20" customHeight="1">
      <c r="A34" s="32" t="inlineStr">
        <is>
          <t>ROI Donatur (estimasi)</t>
        </is>
      </c>
      <c r="B34" s="14" t="n"/>
      <c r="C34" s="14" t="n"/>
      <c r="D34" s="26" t="inlineStr">
        <is>
          <t>10% dari sisa bersih panen</t>
        </is>
      </c>
      <c r="E34" s="14" t="n"/>
      <c r="F34" s="14" t="n"/>
      <c r="G34" s="14" t="n"/>
      <c r="H34" s="14" t="n"/>
      <c r="I34" s="14" t="n"/>
      <c r="J34" s="14" t="n"/>
      <c r="K34" s="17" t="inlineStr">
        <is>
          <t>✅</t>
        </is>
      </c>
      <c r="L34" s="14" t="n"/>
      <c r="M34" s="14" t="n"/>
      <c r="N34" s="18" t="n"/>
    </row>
    <row r="35" ht="20" customHeight="1">
      <c r="A35" s="32" t="inlineStr">
        <is>
          <t>Biaya Operasional / Bulan</t>
        </is>
      </c>
      <c r="B35" s="14" t="n"/>
      <c r="C35" s="14" t="n"/>
      <c r="D35" s="31" t="inlineStr">
        <is>
          <t>← ISI Rp/bulan rata-rata</t>
        </is>
      </c>
      <c r="E35" s="14" t="n"/>
      <c r="F35" s="14" t="n"/>
      <c r="G35" s="14" t="n"/>
      <c r="H35" s="14" t="n"/>
      <c r="I35" s="14" t="n"/>
      <c r="J35" s="14" t="n"/>
      <c r="K35" s="22" t="inlineStr">
        <is>
          <t>🔴 ISI</t>
        </is>
      </c>
      <c r="L35" s="14" t="n"/>
      <c r="M35" s="14" t="n"/>
      <c r="N35" s="18" t="n"/>
    </row>
    <row r="36" ht="20" customHeight="1">
      <c r="A36" s="32" t="inlineStr">
        <is>
          <t>Dana Cadangan (Emergency Fund)</t>
        </is>
      </c>
      <c r="B36" s="14" t="n"/>
      <c r="C36" s="14" t="n"/>
      <c r="D36" s="31" t="inlineStr">
        <is>
          <t>← ISI BERAPA BULAN RUNWAY</t>
        </is>
      </c>
      <c r="E36" s="14" t="n"/>
      <c r="F36" s="14" t="n"/>
      <c r="G36" s="14" t="n"/>
      <c r="H36" s="14" t="n"/>
      <c r="I36" s="14" t="n"/>
      <c r="J36" s="14" t="n"/>
      <c r="K36" s="22" t="inlineStr">
        <is>
          <t>🔴 ISI</t>
        </is>
      </c>
      <c r="L36" s="14" t="n"/>
      <c r="M36" s="14" t="n"/>
      <c r="N36" s="18" t="n"/>
    </row>
    <row r="38" ht="22" customHeight="1">
      <c r="A38" s="29" t="inlineStr">
        <is>
          <t>D. SOCIAL IMPACT METRICS — UNTUK GRANT &amp; CSR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8" t="n"/>
    </row>
    <row r="39" ht="20" customHeight="1">
      <c r="A39" s="32" t="inlineStr">
        <is>
          <t>Jumlah anak binaan yang dilayani (Thn 1)</t>
        </is>
      </c>
      <c r="B39" s="14" t="n"/>
      <c r="C39" s="14" t="n"/>
      <c r="D39" s="31" t="inlineStr">
        <is>
          <t>← ISI ANGKA</t>
        </is>
      </c>
      <c r="E39" s="14" t="n"/>
      <c r="F39" s="14" t="n"/>
      <c r="G39" s="14" t="n"/>
      <c r="H39" s="14" t="n"/>
      <c r="I39" s="14" t="n"/>
      <c r="J39" s="14" t="n"/>
      <c r="K39" s="22" t="inlineStr">
        <is>
          <t>🔴 ISI</t>
        </is>
      </c>
      <c r="L39" s="14" t="n"/>
      <c r="M39" s="14" t="n"/>
      <c r="N39" s="18" t="n"/>
    </row>
    <row r="40" ht="20" customHeight="1">
      <c r="A40" s="32" t="inlineStr">
        <is>
          <t>Target anak lulus/mandiri per tahun</t>
        </is>
      </c>
      <c r="B40" s="14" t="n"/>
      <c r="C40" s="14" t="n"/>
      <c r="D40" s="31" t="inlineStr">
        <is>
          <t>← ISI ANGKA</t>
        </is>
      </c>
      <c r="E40" s="14" t="n"/>
      <c r="F40" s="14" t="n"/>
      <c r="G40" s="14" t="n"/>
      <c r="H40" s="14" t="n"/>
      <c r="I40" s="14" t="n"/>
      <c r="J40" s="14" t="n"/>
      <c r="K40" s="22" t="inlineStr">
        <is>
          <t>🔴 ISI</t>
        </is>
      </c>
      <c r="L40" s="14" t="n"/>
      <c r="M40" s="14" t="n"/>
      <c r="N40" s="18" t="n"/>
    </row>
    <row r="41" ht="20" customHeight="1">
      <c r="A41" s="32" t="inlineStr">
        <is>
          <t>Jumlah keluarga yang terdampak</t>
        </is>
      </c>
      <c r="B41" s="14" t="n"/>
      <c r="C41" s="14" t="n"/>
      <c r="D41" s="31" t="inlineStr">
        <is>
          <t>← ISI ANGKA</t>
        </is>
      </c>
      <c r="E41" s="14" t="n"/>
      <c r="F41" s="14" t="n"/>
      <c r="G41" s="14" t="n"/>
      <c r="H41" s="14" t="n"/>
      <c r="I41" s="14" t="n"/>
      <c r="J41" s="14" t="n"/>
      <c r="K41" s="22" t="inlineStr">
        <is>
          <t>🔴 ISI</t>
        </is>
      </c>
      <c r="L41" s="14" t="n"/>
      <c r="M41" s="14" t="n"/>
      <c r="N41" s="18" t="n"/>
    </row>
    <row r="42" ht="20" customHeight="1">
      <c r="A42" s="32" t="inlineStr">
        <is>
          <t>Lapangan kerja lokal yang tercipta</t>
        </is>
      </c>
      <c r="B42" s="14" t="n"/>
      <c r="C42" s="14" t="n"/>
      <c r="D42" s="31" t="inlineStr">
        <is>
          <t>← ISI ANGKA</t>
        </is>
      </c>
      <c r="E42" s="14" t="n"/>
      <c r="F42" s="14" t="n"/>
      <c r="G42" s="14" t="n"/>
      <c r="H42" s="14" t="n"/>
      <c r="I42" s="14" t="n"/>
      <c r="J42" s="14" t="n"/>
      <c r="K42" s="22" t="inlineStr">
        <is>
          <t>🔴 ISI</t>
        </is>
      </c>
      <c r="L42" s="14" t="n"/>
      <c r="M42" s="14" t="n"/>
      <c r="N42" s="18" t="n"/>
    </row>
    <row r="43" ht="20" customHeight="1">
      <c r="A43" s="32" t="inlineStr">
        <is>
          <t>Luas lahan produktif yang dikelola</t>
        </is>
      </c>
      <c r="B43" s="14" t="n"/>
      <c r="C43" s="14" t="n"/>
      <c r="D43" s="31" t="inlineStr">
        <is>
          <t>← ISI m²</t>
        </is>
      </c>
      <c r="E43" s="14" t="n"/>
      <c r="F43" s="14" t="n"/>
      <c r="G43" s="14" t="n"/>
      <c r="H43" s="14" t="n"/>
      <c r="I43" s="14" t="n"/>
      <c r="J43" s="14" t="n"/>
      <c r="K43" s="22" t="inlineStr">
        <is>
          <t>🔴 ISI</t>
        </is>
      </c>
      <c r="L43" s="14" t="n"/>
      <c r="M43" s="14" t="n"/>
      <c r="N43" s="18" t="n"/>
    </row>
    <row r="44" ht="20" customHeight="1">
      <c r="A44" s="32" t="inlineStr">
        <is>
          <t>SDGs yang dituju</t>
        </is>
      </c>
      <c r="B44" s="14" t="n"/>
      <c r="C44" s="14" t="n"/>
      <c r="D44" s="26" t="inlineStr">
        <is>
          <t>SDG #1, #4, #8, #10, #12, #13, #17</t>
        </is>
      </c>
      <c r="E44" s="14" t="n"/>
      <c r="F44" s="14" t="n"/>
      <c r="G44" s="14" t="n"/>
      <c r="H44" s="14" t="n"/>
      <c r="I44" s="14" t="n"/>
      <c r="J44" s="14" t="n"/>
      <c r="K44" s="17" t="inlineStr">
        <is>
          <t>✅</t>
        </is>
      </c>
      <c r="L44" s="14" t="n"/>
      <c r="M44" s="14" t="n"/>
      <c r="N44" s="18" t="n"/>
    </row>
    <row r="45" ht="20" customHeight="1">
      <c r="A45" s="32" t="inlineStr">
        <is>
          <t>Sertifikasi program (target)</t>
        </is>
      </c>
      <c r="B45" s="14" t="n"/>
      <c r="C45" s="14" t="n"/>
      <c r="D45" s="31" t="inlineStr">
        <is>
          <t>← APA TARGET SERTIFIKASI? (GAP, ISO, dll)</t>
        </is>
      </c>
      <c r="E45" s="14" t="n"/>
      <c r="F45" s="14" t="n"/>
      <c r="G45" s="14" t="n"/>
      <c r="H45" s="14" t="n"/>
      <c r="I45" s="14" t="n"/>
      <c r="J45" s="14" t="n"/>
      <c r="K45" s="22" t="inlineStr">
        <is>
          <t>🔴 ISI</t>
        </is>
      </c>
      <c r="L45" s="14" t="n"/>
      <c r="M45" s="14" t="n"/>
      <c r="N45" s="18" t="n"/>
    </row>
  </sheetData>
  <mergeCells count="107">
    <mergeCell ref="A15:B15"/>
    <mergeCell ref="C9:H9"/>
    <mergeCell ref="D33:J33"/>
    <mergeCell ref="C11:H11"/>
    <mergeCell ref="A7:B7"/>
    <mergeCell ref="C20:J20"/>
    <mergeCell ref="C25:J25"/>
    <mergeCell ref="D35:J35"/>
    <mergeCell ref="K24:N24"/>
    <mergeCell ref="K33:N33"/>
    <mergeCell ref="A43:C43"/>
    <mergeCell ref="C13:H13"/>
    <mergeCell ref="K35:N35"/>
    <mergeCell ref="A34:C34"/>
    <mergeCell ref="A22:B22"/>
    <mergeCell ref="C15:H15"/>
    <mergeCell ref="A19:B19"/>
    <mergeCell ref="I13:J13"/>
    <mergeCell ref="A9:B9"/>
    <mergeCell ref="C10:H10"/>
    <mergeCell ref="I6:J6"/>
    <mergeCell ref="I15:J15"/>
    <mergeCell ref="K39:N39"/>
    <mergeCell ref="A11:B11"/>
    <mergeCell ref="C24:J24"/>
    <mergeCell ref="D39:J39"/>
    <mergeCell ref="D29:J29"/>
    <mergeCell ref="A1:N1"/>
    <mergeCell ref="A32:C32"/>
    <mergeCell ref="I7:J7"/>
    <mergeCell ref="A29:C29"/>
    <mergeCell ref="A3:N3"/>
    <mergeCell ref="A44:C44"/>
    <mergeCell ref="K21:N21"/>
    <mergeCell ref="A31:C31"/>
    <mergeCell ref="A40:C40"/>
    <mergeCell ref="I8:J8"/>
    <mergeCell ref="A5:N5"/>
    <mergeCell ref="K32:N32"/>
    <mergeCell ref="A8:B8"/>
    <mergeCell ref="K41:N41"/>
    <mergeCell ref="C6:H6"/>
    <mergeCell ref="C14:H14"/>
    <mergeCell ref="I10:J10"/>
    <mergeCell ref="A38:N38"/>
    <mergeCell ref="A10:B10"/>
    <mergeCell ref="K43:N43"/>
    <mergeCell ref="I9:J9"/>
    <mergeCell ref="K42:N42"/>
    <mergeCell ref="I11:J11"/>
    <mergeCell ref="D30:J30"/>
    <mergeCell ref="K19:N19"/>
    <mergeCell ref="A42:C42"/>
    <mergeCell ref="K25:N25"/>
    <mergeCell ref="C8:H8"/>
    <mergeCell ref="K30:N30"/>
    <mergeCell ref="A12:B12"/>
    <mergeCell ref="D31:J31"/>
    <mergeCell ref="K45:N45"/>
    <mergeCell ref="A21:B21"/>
    <mergeCell ref="D40:J40"/>
    <mergeCell ref="A2:N2"/>
    <mergeCell ref="K29:N29"/>
    <mergeCell ref="A14:B14"/>
    <mergeCell ref="A30:C30"/>
    <mergeCell ref="A23:B23"/>
    <mergeCell ref="K31:N31"/>
    <mergeCell ref="D32:J32"/>
    <mergeCell ref="K40:N40"/>
    <mergeCell ref="D41:J41"/>
    <mergeCell ref="C19:J19"/>
    <mergeCell ref="D43:J43"/>
    <mergeCell ref="K23:N23"/>
    <mergeCell ref="A24:B24"/>
    <mergeCell ref="A41:C41"/>
    <mergeCell ref="D42:J42"/>
    <mergeCell ref="C12:H12"/>
    <mergeCell ref="A6:B6"/>
    <mergeCell ref="A33:C33"/>
    <mergeCell ref="K18:N18"/>
    <mergeCell ref="A25:B25"/>
    <mergeCell ref="D44:J44"/>
    <mergeCell ref="K34:N34"/>
    <mergeCell ref="D34:J34"/>
    <mergeCell ref="C22:J22"/>
    <mergeCell ref="A18:B18"/>
    <mergeCell ref="A35:C35"/>
    <mergeCell ref="C7:H7"/>
    <mergeCell ref="A27:N27"/>
    <mergeCell ref="I12:J12"/>
    <mergeCell ref="K36:N36"/>
    <mergeCell ref="C21:J21"/>
    <mergeCell ref="D36:J36"/>
    <mergeCell ref="D45:J45"/>
    <mergeCell ref="K20:N20"/>
    <mergeCell ref="A39:C39"/>
    <mergeCell ref="I14:J14"/>
    <mergeCell ref="C23:J23"/>
    <mergeCell ref="A17:N17"/>
    <mergeCell ref="A20:B20"/>
    <mergeCell ref="K44:N44"/>
    <mergeCell ref="K22:N22"/>
    <mergeCell ref="A36:C36"/>
    <mergeCell ref="A45:C45"/>
    <mergeCell ref="A13:B13"/>
    <mergeCell ref="A28:N28"/>
    <mergeCell ref="C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4" customHeight="1">
      <c r="A1" s="1" t="inlineStr">
        <is>
          <t>💰 CASH FLOW PROYEKSI 24 BULAN — NAWA CAHAYA</t>
        </is>
      </c>
    </row>
    <row r="2" ht="18" customHeight="1">
      <c r="A2" s="2" t="inlineStr">
        <is>
          <t>Isi baris MERAH (asumsi &amp; target) → semua kolom terhitung otomatis · Angka dalam Ribuan Rupiah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8" customHeight="1">
      <c r="A5" s="34" t="inlineStr">
        <is>
          <t>URAIAN</t>
        </is>
      </c>
      <c r="B5" s="35" t="inlineStr">
        <is>
          <t>Bln 1</t>
        </is>
      </c>
      <c r="C5" s="35" t="inlineStr">
        <is>
          <t>Bln 2</t>
        </is>
      </c>
      <c r="D5" s="35" t="inlineStr">
        <is>
          <t>Bln 3</t>
        </is>
      </c>
      <c r="E5" s="35" t="inlineStr">
        <is>
          <t>Bln 4</t>
        </is>
      </c>
      <c r="F5" s="35" t="inlineStr">
        <is>
          <t>Bln 5</t>
        </is>
      </c>
      <c r="G5" s="35" t="inlineStr">
        <is>
          <t>Bln 6</t>
        </is>
      </c>
      <c r="H5" s="35" t="inlineStr">
        <is>
          <t>Bln 7</t>
        </is>
      </c>
      <c r="I5" s="35" t="inlineStr">
        <is>
          <t>Bln 8</t>
        </is>
      </c>
      <c r="J5" s="35" t="inlineStr">
        <is>
          <t>Bln 9</t>
        </is>
      </c>
      <c r="K5" s="35" t="inlineStr">
        <is>
          <t>Bln 10</t>
        </is>
      </c>
      <c r="L5" s="35" t="inlineStr">
        <is>
          <t>Bln 11</t>
        </is>
      </c>
      <c r="M5" s="35" t="inlineStr">
        <is>
          <t>Bln 12</t>
        </is>
      </c>
      <c r="N5" s="36" t="inlineStr">
        <is>
          <t>Thn 2 Total</t>
        </is>
      </c>
    </row>
    <row r="6" ht="22" customHeight="1">
      <c r="A6" s="29" t="inlineStr">
        <is>
          <t>📌 ASUMSI DASAR — ISI DULU SEBELUM LANJUT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8" t="n"/>
    </row>
    <row r="7" ht="22" customHeight="1">
      <c r="A7" s="33" t="inlineStr">
        <is>
          <t xml:space="preserve">  Isi angka bulanan di bawah. Semua asumsi ini akan mengisi tabel Cash Flow di bawahnya secara otomatis.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8" t="n"/>
    </row>
    <row r="8" ht="20" customHeight="1">
      <c r="A8" s="37" t="inlineStr">
        <is>
          <t>Target donasi masuk / bulan (Rp)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9" t="n"/>
    </row>
    <row r="9" ht="20" customHeight="1">
      <c r="A9" s="37" t="inlineStr">
        <is>
          <t>Pendapatan panen kebun / bulan (Rp)</t>
        </is>
      </c>
      <c r="B9" s="38" t="n">
        <v>0</v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3000000</v>
      </c>
      <c r="H9" s="38" t="n">
        <v>3000000</v>
      </c>
      <c r="I9" s="38" t="n">
        <v>3500000</v>
      </c>
      <c r="J9" s="38" t="n">
        <v>3500000</v>
      </c>
      <c r="K9" s="38" t="n">
        <v>4000000</v>
      </c>
      <c r="L9" s="38" t="n">
        <v>4000000</v>
      </c>
      <c r="M9" s="38" t="n">
        <v>4500000</v>
      </c>
      <c r="N9" s="39" t="n"/>
    </row>
    <row r="10" ht="20" customHeight="1">
      <c r="A10" s="37" t="inlineStr">
        <is>
          <t>Pendapatan ternak / bulan (Rp)</t>
        </is>
      </c>
      <c r="B10" s="38" t="n">
        <v>0</v>
      </c>
      <c r="C10" s="38" t="n">
        <v>0</v>
      </c>
      <c r="D10" s="38" t="n">
        <v>500000</v>
      </c>
      <c r="E10" s="38" t="n">
        <v>500000</v>
      </c>
      <c r="F10" s="38" t="n">
        <v>500000</v>
      </c>
      <c r="G10" s="38" t="n">
        <v>750000</v>
      </c>
      <c r="H10" s="38" t="n">
        <v>750000</v>
      </c>
      <c r="I10" s="38" t="n">
        <v>1000000</v>
      </c>
      <c r="J10" s="38" t="n">
        <v>1000000</v>
      </c>
      <c r="K10" s="38" t="n">
        <v>1000000</v>
      </c>
      <c r="L10" s="38" t="n">
        <v>1000000</v>
      </c>
      <c r="M10" s="38" t="n">
        <v>1500000</v>
      </c>
      <c r="N10" s="39" t="n"/>
    </row>
    <row r="11" ht="20" customHeight="1">
      <c r="A11" s="37" t="inlineStr">
        <is>
          <t>Biaya makan anak / bulan (Rp)</t>
        </is>
      </c>
      <c r="B11" s="38" t="n">
        <v>5000000</v>
      </c>
      <c r="C11" s="38" t="n">
        <v>5000000</v>
      </c>
      <c r="D11" s="38" t="n">
        <v>5000000</v>
      </c>
      <c r="E11" s="38" t="n">
        <v>5000000</v>
      </c>
      <c r="F11" s="38" t="n">
        <v>5000000</v>
      </c>
      <c r="G11" s="38" t="n">
        <v>5000000</v>
      </c>
      <c r="H11" s="38" t="n">
        <v>5000000</v>
      </c>
      <c r="I11" s="38" t="n">
        <v>5000000</v>
      </c>
      <c r="J11" s="38" t="n">
        <v>5000000</v>
      </c>
      <c r="K11" s="38" t="n">
        <v>5000000</v>
      </c>
      <c r="L11" s="38" t="n">
        <v>5000000</v>
      </c>
      <c r="M11" s="38" t="n">
        <v>5000000</v>
      </c>
      <c r="N11" s="39" t="n"/>
    </row>
    <row r="12" ht="20" customHeight="1">
      <c r="A12" s="37" t="inlineStr">
        <is>
          <t>Gaji advance tenaga lokal / bulan (Rp)</t>
        </is>
      </c>
      <c r="B12" s="38" t="n">
        <v>3000000</v>
      </c>
      <c r="C12" s="38" t="n">
        <v>3000000</v>
      </c>
      <c r="D12" s="38" t="n">
        <v>3000000</v>
      </c>
      <c r="E12" s="38" t="n">
        <v>3000000</v>
      </c>
      <c r="F12" s="38" t="n">
        <v>3000000</v>
      </c>
      <c r="G12" s="38" t="n">
        <v>3000000</v>
      </c>
      <c r="H12" s="38" t="n">
        <v>3000000</v>
      </c>
      <c r="I12" s="38" t="n">
        <v>3000000</v>
      </c>
      <c r="J12" s="38" t="n">
        <v>3000000</v>
      </c>
      <c r="K12" s="38" t="n">
        <v>3000000</v>
      </c>
      <c r="L12" s="38" t="n">
        <v>3000000</v>
      </c>
      <c r="M12" s="38" t="n">
        <v>3000000</v>
      </c>
      <c r="N12" s="39" t="n"/>
    </row>
    <row r="13" ht="20" customHeight="1">
      <c r="A13" s="37" t="inlineStr">
        <is>
          <t>Biaya operasional harian / bulan (Rp)</t>
        </is>
      </c>
      <c r="B13" s="38" t="n">
        <v>2000000</v>
      </c>
      <c r="C13" s="38" t="n">
        <v>2000000</v>
      </c>
      <c r="D13" s="38" t="n">
        <v>2000000</v>
      </c>
      <c r="E13" s="38" t="n">
        <v>2000000</v>
      </c>
      <c r="F13" s="38" t="n">
        <v>2000000</v>
      </c>
      <c r="G13" s="38" t="n">
        <v>2000000</v>
      </c>
      <c r="H13" s="38" t="n">
        <v>2000000</v>
      </c>
      <c r="I13" s="38" t="n">
        <v>2000000</v>
      </c>
      <c r="J13" s="38" t="n">
        <v>2000000</v>
      </c>
      <c r="K13" s="38" t="n">
        <v>2000000</v>
      </c>
      <c r="L13" s="38" t="n">
        <v>2000000</v>
      </c>
      <c r="M13" s="38" t="n">
        <v>2000000</v>
      </c>
      <c r="N13" s="39" t="n"/>
    </row>
    <row r="14" ht="20" customHeight="1">
      <c r="A14" s="37" t="inlineStr">
        <is>
          <t>Biaya listrik &amp; air / bulan (Rp)</t>
        </is>
      </c>
      <c r="B14" s="38" t="n">
        <v>500000</v>
      </c>
      <c r="C14" s="38" t="n">
        <v>500000</v>
      </c>
      <c r="D14" s="38" t="n">
        <v>500000</v>
      </c>
      <c r="E14" s="38" t="n">
        <v>500000</v>
      </c>
      <c r="F14" s="38" t="n">
        <v>500000</v>
      </c>
      <c r="G14" s="38" t="n">
        <v>500000</v>
      </c>
      <c r="H14" s="38" t="n">
        <v>500000</v>
      </c>
      <c r="I14" s="38" t="n">
        <v>500000</v>
      </c>
      <c r="J14" s="38" t="n">
        <v>500000</v>
      </c>
      <c r="K14" s="38" t="n">
        <v>500000</v>
      </c>
      <c r="L14" s="38" t="n">
        <v>500000</v>
      </c>
      <c r="M14" s="38" t="n">
        <v>500000</v>
      </c>
      <c r="N14" s="39" t="n"/>
    </row>
    <row r="15" ht="20" customHeight="1">
      <c r="A15" s="37" t="inlineStr">
        <is>
          <t>Biaya pupuk &amp; perawatan / bulan (Rp)</t>
        </is>
      </c>
      <c r="B15" s="38" t="n">
        <v>800000</v>
      </c>
      <c r="C15" s="38" t="n">
        <v>800000</v>
      </c>
      <c r="D15" s="38" t="n">
        <v>800000</v>
      </c>
      <c r="E15" s="38" t="n">
        <v>800000</v>
      </c>
      <c r="F15" s="38" t="n">
        <v>800000</v>
      </c>
      <c r="G15" s="38" t="n">
        <v>800000</v>
      </c>
      <c r="H15" s="38" t="n">
        <v>800000</v>
      </c>
      <c r="I15" s="38" t="n">
        <v>800000</v>
      </c>
      <c r="J15" s="38" t="n">
        <v>800000</v>
      </c>
      <c r="K15" s="38" t="n">
        <v>800000</v>
      </c>
      <c r="L15" s="38" t="n">
        <v>800000</v>
      </c>
      <c r="M15" s="38" t="n">
        <v>800000</v>
      </c>
      <c r="N15" s="39" t="n"/>
    </row>
    <row r="16" ht="20" customHeight="1">
      <c r="A16" s="37" t="inlineStr">
        <is>
          <t>Biaya lain-lain / bulan (Rp)</t>
        </is>
      </c>
      <c r="B16" s="38" t="n">
        <v>500000</v>
      </c>
      <c r="C16" s="38" t="n">
        <v>500000</v>
      </c>
      <c r="D16" s="38" t="n">
        <v>500000</v>
      </c>
      <c r="E16" s="38" t="n">
        <v>500000</v>
      </c>
      <c r="F16" s="38" t="n">
        <v>500000</v>
      </c>
      <c r="G16" s="38" t="n">
        <v>500000</v>
      </c>
      <c r="H16" s="38" t="n">
        <v>500000</v>
      </c>
      <c r="I16" s="38" t="n">
        <v>500000</v>
      </c>
      <c r="J16" s="38" t="n">
        <v>500000</v>
      </c>
      <c r="K16" s="38" t="n">
        <v>500000</v>
      </c>
      <c r="L16" s="38" t="n">
        <v>500000</v>
      </c>
      <c r="M16" s="38" t="n">
        <v>500000</v>
      </c>
      <c r="N16" s="39" t="n"/>
    </row>
    <row r="18" ht="22" customHeight="1">
      <c r="A18" s="29" t="inlineStr">
        <is>
          <t>📊 TABEL CASH FLOW BULANAN (Otomatis dari Asumsi di Atas)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8" t="n"/>
    </row>
    <row r="19" ht="22" customHeight="1">
      <c r="A19" s="40" t="inlineStr">
        <is>
          <t xml:space="preserve">  💵 PEMASUKAN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8" t="n"/>
    </row>
    <row r="20" ht="18" customHeight="1">
      <c r="A20" s="41" t="inlineStr">
        <is>
          <t>Donasi dari investor/donatur</t>
        </is>
      </c>
      <c r="B20" s="42">
        <f>B8</f>
        <v/>
      </c>
      <c r="C20" s="42">
        <f>C8</f>
        <v/>
      </c>
      <c r="D20" s="42">
        <f>D8</f>
        <v/>
      </c>
      <c r="E20" s="42">
        <f>E8</f>
        <v/>
      </c>
      <c r="F20" s="42">
        <f>F8</f>
        <v/>
      </c>
      <c r="G20" s="42">
        <f>G8</f>
        <v/>
      </c>
      <c r="H20" s="42">
        <f>H8</f>
        <v/>
      </c>
      <c r="I20" s="42">
        <f>I8</f>
        <v/>
      </c>
      <c r="J20" s="42">
        <f>J8</f>
        <v/>
      </c>
      <c r="K20" s="42">
        <f>K8</f>
        <v/>
      </c>
      <c r="L20" s="42">
        <f>L8</f>
        <v/>
      </c>
      <c r="M20" s="42">
        <f>M8</f>
        <v/>
      </c>
      <c r="N20" s="43">
        <f>N8</f>
        <v/>
      </c>
    </row>
    <row r="21" ht="18" customHeight="1">
      <c r="A21" s="41" t="inlineStr">
        <is>
          <t>Pendapatan kebun (panen)</t>
        </is>
      </c>
      <c r="B21" s="44">
        <f>B9</f>
        <v/>
      </c>
      <c r="C21" s="44">
        <f>C9</f>
        <v/>
      </c>
      <c r="D21" s="44">
        <f>D9</f>
        <v/>
      </c>
      <c r="E21" s="44">
        <f>E9</f>
        <v/>
      </c>
      <c r="F21" s="44">
        <f>F9</f>
        <v/>
      </c>
      <c r="G21" s="44">
        <f>G9</f>
        <v/>
      </c>
      <c r="H21" s="44">
        <f>H9</f>
        <v/>
      </c>
      <c r="I21" s="44">
        <f>I9</f>
        <v/>
      </c>
      <c r="J21" s="44">
        <f>J9</f>
        <v/>
      </c>
      <c r="K21" s="44">
        <f>K9</f>
        <v/>
      </c>
      <c r="L21" s="44">
        <f>L9</f>
        <v/>
      </c>
      <c r="M21" s="44">
        <f>M9</f>
        <v/>
      </c>
      <c r="N21" s="45">
        <f>N9</f>
        <v/>
      </c>
    </row>
    <row r="22" ht="18" customHeight="1">
      <c r="A22" s="41" t="inlineStr">
        <is>
          <t>Pendapatan ternak</t>
        </is>
      </c>
      <c r="B22" s="44">
        <f>B10</f>
        <v/>
      </c>
      <c r="C22" s="44">
        <f>C10</f>
        <v/>
      </c>
      <c r="D22" s="44">
        <f>D10</f>
        <v/>
      </c>
      <c r="E22" s="44">
        <f>E10</f>
        <v/>
      </c>
      <c r="F22" s="44">
        <f>F10</f>
        <v/>
      </c>
      <c r="G22" s="44">
        <f>G10</f>
        <v/>
      </c>
      <c r="H22" s="44">
        <f>H10</f>
        <v/>
      </c>
      <c r="I22" s="44">
        <f>I10</f>
        <v/>
      </c>
      <c r="J22" s="44">
        <f>J10</f>
        <v/>
      </c>
      <c r="K22" s="44">
        <f>K10</f>
        <v/>
      </c>
      <c r="L22" s="44">
        <f>L10</f>
        <v/>
      </c>
      <c r="M22" s="44">
        <f>M10</f>
        <v/>
      </c>
      <c r="N22" s="45">
        <f>N10</f>
        <v/>
      </c>
    </row>
    <row r="23" ht="22" customHeight="1">
      <c r="A23" s="46" t="inlineStr">
        <is>
          <t>▶ TOTAL PEMASUKAN</t>
        </is>
      </c>
      <c r="B23" s="47">
        <f>B20+B21+B22</f>
        <v/>
      </c>
      <c r="C23" s="47">
        <f>C20+C21+C22</f>
        <v/>
      </c>
      <c r="D23" s="47">
        <f>D20+D21+D22</f>
        <v/>
      </c>
      <c r="E23" s="47">
        <f>E20+E21+E22</f>
        <v/>
      </c>
      <c r="F23" s="47">
        <f>F20+F21+F22</f>
        <v/>
      </c>
      <c r="G23" s="47">
        <f>G20+G21+G22</f>
        <v/>
      </c>
      <c r="H23" s="47">
        <f>H20+H21+H22</f>
        <v/>
      </c>
      <c r="I23" s="47">
        <f>I20+I21+I22</f>
        <v/>
      </c>
      <c r="J23" s="47">
        <f>J20+J21+J22</f>
        <v/>
      </c>
      <c r="K23" s="47">
        <f>K20+K21+K22</f>
        <v/>
      </c>
      <c r="L23" s="47">
        <f>L20+L21+L22</f>
        <v/>
      </c>
      <c r="M23" s="47">
        <f>M20+M21+M22</f>
        <v/>
      </c>
      <c r="N23" s="48">
        <f>N20+N21+N22</f>
        <v/>
      </c>
    </row>
    <row r="25">
      <c r="A25" s="49" t="inlineStr">
        <is>
          <t xml:space="preserve">  📤 PENGELUARAN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8" t="n"/>
    </row>
    <row r="26" ht="18" customHeight="1">
      <c r="A26" s="50" t="inlineStr">
        <is>
          <t>Biaya makan anak binaan</t>
        </is>
      </c>
      <c r="B26" s="51">
        <f>B11</f>
        <v/>
      </c>
      <c r="C26" s="51">
        <f>C11</f>
        <v/>
      </c>
      <c r="D26" s="51">
        <f>D11</f>
        <v/>
      </c>
      <c r="E26" s="51">
        <f>E11</f>
        <v/>
      </c>
      <c r="F26" s="51">
        <f>F11</f>
        <v/>
      </c>
      <c r="G26" s="51">
        <f>G11</f>
        <v/>
      </c>
      <c r="H26" s="51">
        <f>H11</f>
        <v/>
      </c>
      <c r="I26" s="51">
        <f>I11</f>
        <v/>
      </c>
      <c r="J26" s="51">
        <f>J11</f>
        <v/>
      </c>
      <c r="K26" s="51">
        <f>K11</f>
        <v/>
      </c>
      <c r="L26" s="51">
        <f>L11</f>
        <v/>
      </c>
      <c r="M26" s="51">
        <f>M11</f>
        <v/>
      </c>
      <c r="N26" s="52">
        <f>N11</f>
        <v/>
      </c>
    </row>
    <row r="27" ht="18" customHeight="1">
      <c r="A27" s="50" t="inlineStr">
        <is>
          <t>Gaji advance tenaga lokal</t>
        </is>
      </c>
      <c r="B27" s="51">
        <f>B12</f>
        <v/>
      </c>
      <c r="C27" s="51">
        <f>C12</f>
        <v/>
      </c>
      <c r="D27" s="51">
        <f>D12</f>
        <v/>
      </c>
      <c r="E27" s="51">
        <f>E12</f>
        <v/>
      </c>
      <c r="F27" s="51">
        <f>F12</f>
        <v/>
      </c>
      <c r="G27" s="51">
        <f>G12</f>
        <v/>
      </c>
      <c r="H27" s="51">
        <f>H12</f>
        <v/>
      </c>
      <c r="I27" s="51">
        <f>I12</f>
        <v/>
      </c>
      <c r="J27" s="51">
        <f>J12</f>
        <v/>
      </c>
      <c r="K27" s="51">
        <f>K12</f>
        <v/>
      </c>
      <c r="L27" s="51">
        <f>L12</f>
        <v/>
      </c>
      <c r="M27" s="51">
        <f>M12</f>
        <v/>
      </c>
      <c r="N27" s="52">
        <f>N12</f>
        <v/>
      </c>
    </row>
    <row r="28" ht="18" customHeight="1">
      <c r="A28" s="50" t="inlineStr">
        <is>
          <t>Operasional harian</t>
        </is>
      </c>
      <c r="B28" s="51">
        <f>B13</f>
        <v/>
      </c>
      <c r="C28" s="51">
        <f>C13</f>
        <v/>
      </c>
      <c r="D28" s="51">
        <f>D13</f>
        <v/>
      </c>
      <c r="E28" s="51">
        <f>E13</f>
        <v/>
      </c>
      <c r="F28" s="51">
        <f>F13</f>
        <v/>
      </c>
      <c r="G28" s="51">
        <f>G13</f>
        <v/>
      </c>
      <c r="H28" s="51">
        <f>H13</f>
        <v/>
      </c>
      <c r="I28" s="51">
        <f>I13</f>
        <v/>
      </c>
      <c r="J28" s="51">
        <f>J13</f>
        <v/>
      </c>
      <c r="K28" s="51">
        <f>K13</f>
        <v/>
      </c>
      <c r="L28" s="51">
        <f>L13</f>
        <v/>
      </c>
      <c r="M28" s="51">
        <f>M13</f>
        <v/>
      </c>
      <c r="N28" s="52">
        <f>N13</f>
        <v/>
      </c>
    </row>
    <row r="29" ht="18" customHeight="1">
      <c r="A29" s="50" t="inlineStr">
        <is>
          <t>Listrik &amp; air</t>
        </is>
      </c>
      <c r="B29" s="51">
        <f>B14</f>
        <v/>
      </c>
      <c r="C29" s="51">
        <f>C14</f>
        <v/>
      </c>
      <c r="D29" s="51">
        <f>D14</f>
        <v/>
      </c>
      <c r="E29" s="51">
        <f>E14</f>
        <v/>
      </c>
      <c r="F29" s="51">
        <f>F14</f>
        <v/>
      </c>
      <c r="G29" s="51">
        <f>G14</f>
        <v/>
      </c>
      <c r="H29" s="51">
        <f>H14</f>
        <v/>
      </c>
      <c r="I29" s="51">
        <f>I14</f>
        <v/>
      </c>
      <c r="J29" s="51">
        <f>J14</f>
        <v/>
      </c>
      <c r="K29" s="51">
        <f>K14</f>
        <v/>
      </c>
      <c r="L29" s="51">
        <f>L14</f>
        <v/>
      </c>
      <c r="M29" s="51">
        <f>M14</f>
        <v/>
      </c>
      <c r="N29" s="52">
        <f>N14</f>
        <v/>
      </c>
    </row>
    <row r="30" ht="18" customHeight="1">
      <c r="A30" s="50" t="inlineStr">
        <is>
          <t>Pupuk &amp; perawatan kebun</t>
        </is>
      </c>
      <c r="B30" s="51">
        <f>B15</f>
        <v/>
      </c>
      <c r="C30" s="51">
        <f>C15</f>
        <v/>
      </c>
      <c r="D30" s="51">
        <f>D15</f>
        <v/>
      </c>
      <c r="E30" s="51">
        <f>E15</f>
        <v/>
      </c>
      <c r="F30" s="51">
        <f>F15</f>
        <v/>
      </c>
      <c r="G30" s="51">
        <f>G15</f>
        <v/>
      </c>
      <c r="H30" s="51">
        <f>H15</f>
        <v/>
      </c>
      <c r="I30" s="51">
        <f>I15</f>
        <v/>
      </c>
      <c r="J30" s="51">
        <f>J15</f>
        <v/>
      </c>
      <c r="K30" s="51">
        <f>K15</f>
        <v/>
      </c>
      <c r="L30" s="51">
        <f>L15</f>
        <v/>
      </c>
      <c r="M30" s="51">
        <f>M15</f>
        <v/>
      </c>
      <c r="N30" s="52">
        <f>N15</f>
        <v/>
      </c>
    </row>
    <row r="31" ht="18" customHeight="1">
      <c r="A31" s="50" t="inlineStr">
        <is>
          <t>Lain-lain</t>
        </is>
      </c>
      <c r="B31" s="51">
        <f>B16</f>
        <v/>
      </c>
      <c r="C31" s="51">
        <f>C16</f>
        <v/>
      </c>
      <c r="D31" s="51">
        <f>D16</f>
        <v/>
      </c>
      <c r="E31" s="51">
        <f>E16</f>
        <v/>
      </c>
      <c r="F31" s="51">
        <f>F16</f>
        <v/>
      </c>
      <c r="G31" s="51">
        <f>G16</f>
        <v/>
      </c>
      <c r="H31" s="51">
        <f>H16</f>
        <v/>
      </c>
      <c r="I31" s="51">
        <f>I16</f>
        <v/>
      </c>
      <c r="J31" s="51">
        <f>J16</f>
        <v/>
      </c>
      <c r="K31" s="51">
        <f>K16</f>
        <v/>
      </c>
      <c r="L31" s="51">
        <f>L16</f>
        <v/>
      </c>
      <c r="M31" s="51">
        <f>M16</f>
        <v/>
      </c>
      <c r="N31" s="52">
        <f>N16</f>
        <v/>
      </c>
    </row>
    <row r="32" ht="22" customHeight="1">
      <c r="A32" s="53" t="inlineStr">
        <is>
          <t>▶ TOTAL PENGELUARAN</t>
        </is>
      </c>
      <c r="B32" s="54">
        <f>B26+B27+B28+B29+B30+B31</f>
        <v/>
      </c>
      <c r="C32" s="54">
        <f>C26+C27+C28+C29+C30+C31</f>
        <v/>
      </c>
      <c r="D32" s="54">
        <f>D26+D27+D28+D29+D30+D31</f>
        <v/>
      </c>
      <c r="E32" s="54">
        <f>E26+E27+E28+E29+E30+E31</f>
        <v/>
      </c>
      <c r="F32" s="54">
        <f>F26+F27+F28+F29+F30+F31</f>
        <v/>
      </c>
      <c r="G32" s="54">
        <f>G26+G27+G28+G29+G30+G31</f>
        <v/>
      </c>
      <c r="H32" s="54">
        <f>H26+H27+H28+H29+H30+H31</f>
        <v/>
      </c>
      <c r="I32" s="54">
        <f>I26+I27+I28+I29+I30+I31</f>
        <v/>
      </c>
      <c r="J32" s="54">
        <f>J26+J27+J28+J29+J30+J31</f>
        <v/>
      </c>
      <c r="K32" s="54">
        <f>K26+K27+K28+K29+K30+K31</f>
        <v/>
      </c>
      <c r="L32" s="54">
        <f>L26+L27+L28+L29+L30+L31</f>
        <v/>
      </c>
      <c r="M32" s="54">
        <f>M26+M27+M28+M29+M30+M31</f>
        <v/>
      </c>
      <c r="N32" s="55">
        <f>N26+N27+N28+N29+N30+N31</f>
        <v/>
      </c>
    </row>
    <row r="34" ht="26" customHeight="1">
      <c r="A34" s="56" t="inlineStr">
        <is>
          <t>💚 NET CASH FLOW / BULAN</t>
        </is>
      </c>
      <c r="B34" s="57">
        <f>B23-B32</f>
        <v/>
      </c>
      <c r="C34" s="57">
        <f>C23-C32</f>
        <v/>
      </c>
      <c r="D34" s="57">
        <f>D23-D32</f>
        <v/>
      </c>
      <c r="E34" s="57">
        <f>E23-E32</f>
        <v/>
      </c>
      <c r="F34" s="57">
        <f>F23-F32</f>
        <v/>
      </c>
      <c r="G34" s="57">
        <f>G23-G32</f>
        <v/>
      </c>
      <c r="H34" s="57">
        <f>H23-H32</f>
        <v/>
      </c>
      <c r="I34" s="57">
        <f>I23-I32</f>
        <v/>
      </c>
      <c r="J34" s="57">
        <f>J23-J32</f>
        <v/>
      </c>
      <c r="K34" s="57">
        <f>K23-K32</f>
        <v/>
      </c>
      <c r="L34" s="57">
        <f>L23-L32</f>
        <v/>
      </c>
      <c r="M34" s="57">
        <f>M23-M32</f>
        <v/>
      </c>
      <c r="N34" s="58">
        <f>N23-N32</f>
        <v/>
      </c>
    </row>
    <row r="35" ht="26" customHeight="1">
      <c r="A35" s="59" t="inlineStr">
        <is>
          <t>🏦 SALDO KAS KUMULATIF</t>
        </is>
      </c>
      <c r="B35" s="60">
        <f>B34</f>
        <v/>
      </c>
      <c r="C35" s="60">
        <f>B35+C34</f>
        <v/>
      </c>
      <c r="D35" s="60">
        <f>C35+D34</f>
        <v/>
      </c>
      <c r="E35" s="60">
        <f>D35+E34</f>
        <v/>
      </c>
      <c r="F35" s="60">
        <f>E35+F34</f>
        <v/>
      </c>
      <c r="G35" s="60">
        <f>F35+G34</f>
        <v/>
      </c>
      <c r="H35" s="60">
        <f>G35+H34</f>
        <v/>
      </c>
      <c r="I35" s="60">
        <f>H35+I34</f>
        <v/>
      </c>
      <c r="J35" s="60">
        <f>I35+J34</f>
        <v/>
      </c>
      <c r="K35" s="60">
        <f>J35+K34</f>
        <v/>
      </c>
      <c r="L35" s="60">
        <f>K35+L34</f>
        <v/>
      </c>
      <c r="M35" s="60">
        <f>L35+M34</f>
        <v/>
      </c>
      <c r="N35" s="61">
        <f>M35+N34</f>
        <v/>
      </c>
    </row>
    <row r="37" ht="22" customHeight="1">
      <c r="A37" s="29" t="inlineStr">
        <is>
          <t>📌 CATATAN BEP &amp; ANALISA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8" t="n"/>
    </row>
    <row r="38" ht="22" customHeight="1">
      <c r="A38" s="33" t="inlineStr">
        <is>
          <t xml:space="preserve">  BEP = bulan pertama saldo kumulatif menjadi POSITIF setelah sebelumnya negatif. Lihat baris saldo di atas.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8" t="n"/>
    </row>
    <row r="39">
      <c r="A39" s="62" t="inlineStr">
        <is>
          <t xml:space="preserve">  Break Even Point (BEP) estimasi:</t>
        </is>
      </c>
      <c r="B39" s="14" t="n"/>
      <c r="C39" s="14" t="n"/>
      <c r="D39" s="14" t="n"/>
      <c r="E39" s="14" t="n"/>
      <c r="F39" s="14" t="n"/>
      <c r="G39" s="31" t="inlineStr">
        <is>
          <t>← BULAN KE BERAPA? (isi manual)</t>
        </is>
      </c>
      <c r="H39" s="14" t="n"/>
      <c r="I39" s="14" t="n"/>
      <c r="J39" s="14" t="n"/>
      <c r="K39" s="63" t="inlineStr">
        <is>
          <t>← DARI CASH FLOW ATAS</t>
        </is>
      </c>
      <c r="L39" s="14" t="n"/>
      <c r="M39" s="14" t="n"/>
      <c r="N39" s="18" t="n"/>
    </row>
    <row r="40">
      <c r="A40" s="62" t="inlineStr">
        <is>
          <t xml:space="preserve">  Minimum kas yang harus selalu ada:</t>
        </is>
      </c>
      <c r="B40" s="14" t="n"/>
      <c r="C40" s="14" t="n"/>
      <c r="D40" s="14" t="n"/>
      <c r="E40" s="14" t="n"/>
      <c r="F40" s="14" t="n"/>
      <c r="G40" s="31" t="inlineStr">
        <is>
          <t>← ISI MINIMUM KAS (Rp)</t>
        </is>
      </c>
      <c r="H40" s="14" t="n"/>
      <c r="I40" s="14" t="n"/>
      <c r="J40" s="14" t="n"/>
      <c r="K40" s="14" t="n"/>
      <c r="L40" s="14" t="n"/>
      <c r="M40" s="14" t="n"/>
      <c r="N40" s="18" t="n"/>
    </row>
  </sheetData>
  <mergeCells count="15">
    <mergeCell ref="A18:N18"/>
    <mergeCell ref="G40:J40"/>
    <mergeCell ref="A3:N3"/>
    <mergeCell ref="A6:N6"/>
    <mergeCell ref="G39:J39"/>
    <mergeCell ref="K39:N39"/>
    <mergeCell ref="A38:N38"/>
    <mergeCell ref="A2:N2"/>
    <mergeCell ref="A7:N7"/>
    <mergeCell ref="A25:N25"/>
    <mergeCell ref="A19:N19"/>
    <mergeCell ref="A40:F40"/>
    <mergeCell ref="A37:N37"/>
    <mergeCell ref="A39:F39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44" customHeight="1">
      <c r="A1" s="1" t="inlineStr">
        <is>
          <t>📈 PROFIT &amp; LOSS (P&amp;L) BULANAN — NAWA CAHAYA</t>
        </is>
      </c>
    </row>
    <row r="2" ht="18" customHeight="1">
      <c r="A2" s="2" t="inlineStr">
        <is>
          <t>Revenue - COGS - OpEx = Net Profit per bulan · Isi asumsi merah → semua kolom otomatis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6" customHeight="1">
      <c r="A5" s="34" t="inlineStr">
        <is>
          <t>KOMPONEN P&amp;L</t>
        </is>
      </c>
      <c r="B5" s="35" t="inlineStr">
        <is>
          <t>Bln 1</t>
        </is>
      </c>
      <c r="C5" s="35" t="inlineStr">
        <is>
          <t>Bln 2</t>
        </is>
      </c>
      <c r="D5" s="35" t="inlineStr">
        <is>
          <t>Bln 3</t>
        </is>
      </c>
      <c r="E5" s="35" t="inlineStr">
        <is>
          <t>Bln 4</t>
        </is>
      </c>
      <c r="F5" s="35" t="inlineStr">
        <is>
          <t>Bln 5</t>
        </is>
      </c>
      <c r="G5" s="35" t="inlineStr">
        <is>
          <t>Bln 6</t>
        </is>
      </c>
      <c r="H5" s="35" t="inlineStr">
        <is>
          <t>Bln 7</t>
        </is>
      </c>
      <c r="I5" s="35" t="inlineStr">
        <is>
          <t>Bln 8</t>
        </is>
      </c>
      <c r="J5" s="35" t="inlineStr">
        <is>
          <t>Bln 9</t>
        </is>
      </c>
      <c r="K5" s="35" t="inlineStr">
        <is>
          <t>Bln 10</t>
        </is>
      </c>
      <c r="L5" s="35" t="inlineStr">
        <is>
          <t>Bln 11</t>
        </is>
      </c>
      <c r="M5" s="35" t="inlineStr">
        <is>
          <t>Bln 12</t>
        </is>
      </c>
      <c r="N5" s="36" t="inlineStr">
        <is>
          <t>Thn 2 Total</t>
        </is>
      </c>
    </row>
    <row r="6">
      <c r="A6" s="40" t="inlineStr">
        <is>
          <t xml:space="preserve">  📈 REVENUE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8" t="n"/>
    </row>
    <row r="7" ht="20" customHeight="1">
      <c r="A7" s="37" t="inlineStr">
        <is>
          <t>Revenue: Donasi masuk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9" t="n"/>
    </row>
    <row r="8" ht="20" customHeight="1">
      <c r="A8" s="37" t="inlineStr">
        <is>
          <t>Revenue: Penjualan kebun</t>
        </is>
      </c>
      <c r="B8" s="38" t="n">
        <v>0</v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3000000</v>
      </c>
      <c r="H8" s="38" t="n">
        <v>3500000</v>
      </c>
      <c r="I8" s="38" t="n">
        <v>3500000</v>
      </c>
      <c r="J8" s="38" t="n">
        <v>4000000</v>
      </c>
      <c r="K8" s="38" t="n">
        <v>4000000</v>
      </c>
      <c r="L8" s="38" t="n">
        <v>4500000</v>
      </c>
      <c r="M8" s="38" t="n">
        <v>4500000</v>
      </c>
      <c r="N8" s="39" t="n"/>
    </row>
    <row r="9" ht="20" customHeight="1">
      <c r="A9" s="37" t="inlineStr">
        <is>
          <t>Revenue: Penjualan ternak</t>
        </is>
      </c>
      <c r="B9" s="38" t="n">
        <v>0</v>
      </c>
      <c r="C9" s="38" t="n">
        <v>0</v>
      </c>
      <c r="D9" s="38" t="n">
        <v>500000</v>
      </c>
      <c r="E9" s="38" t="n">
        <v>500000</v>
      </c>
      <c r="F9" s="38" t="n">
        <v>500000</v>
      </c>
      <c r="G9" s="38" t="n">
        <v>750000</v>
      </c>
      <c r="H9" s="38" t="n">
        <v>1000000</v>
      </c>
      <c r="I9" s="38" t="n">
        <v>1000000</v>
      </c>
      <c r="J9" s="38" t="n">
        <v>1000000</v>
      </c>
      <c r="K9" s="38" t="n">
        <v>1200000</v>
      </c>
      <c r="L9" s="38" t="n">
        <v>1200000</v>
      </c>
      <c r="M9" s="38" t="n">
        <v>1500000</v>
      </c>
      <c r="N9" s="39" t="n"/>
    </row>
    <row r="10" ht="22" customHeight="1">
      <c r="A10" s="46" t="inlineStr">
        <is>
          <t>▶ TOTAL REVENUE</t>
        </is>
      </c>
      <c r="B10" s="47">
        <f>B7+B8+B9</f>
        <v/>
      </c>
      <c r="C10" s="47">
        <f>C7+C8+C9</f>
        <v/>
      </c>
      <c r="D10" s="47">
        <f>D7+D8+D9</f>
        <v/>
      </c>
      <c r="E10" s="47">
        <f>E7+E8+E9</f>
        <v/>
      </c>
      <c r="F10" s="47">
        <f>F7+F8+F9</f>
        <v/>
      </c>
      <c r="G10" s="47">
        <f>G7+G8+G9</f>
        <v/>
      </c>
      <c r="H10" s="47">
        <f>H7+H8+H9</f>
        <v/>
      </c>
      <c r="I10" s="47">
        <f>I7+I8+I9</f>
        <v/>
      </c>
      <c r="J10" s="47">
        <f>J7+J8+J9</f>
        <v/>
      </c>
      <c r="K10" s="47">
        <f>K7+K8+K9</f>
        <v/>
      </c>
      <c r="L10" s="47">
        <f>L7+L8+L9</f>
        <v/>
      </c>
      <c r="M10" s="47">
        <f>M7+M8+M9</f>
        <v/>
      </c>
      <c r="N10" s="48">
        <f>N7+N8+N9</f>
        <v/>
      </c>
    </row>
    <row r="12">
      <c r="A12" s="64" t="inlineStr">
        <is>
          <t xml:space="preserve">  🌾 COGS (Harga Pokok Produksi)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8" t="n"/>
    </row>
    <row r="13" ht="20" customHeight="1">
      <c r="A13" s="37" t="inlineStr">
        <is>
          <t>Bibit &amp; benih</t>
        </is>
      </c>
      <c r="B13" s="38" t="n">
        <v>0</v>
      </c>
      <c r="C13" s="38" t="n">
        <v>500000</v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500000</v>
      </c>
      <c r="I13" s="38" t="n">
        <v>0</v>
      </c>
      <c r="J13" s="38" t="n">
        <v>0</v>
      </c>
      <c r="K13" s="38" t="n">
        <v>0</v>
      </c>
      <c r="L13" s="38" t="n">
        <v>0</v>
      </c>
      <c r="M13" s="38" t="n">
        <v>500000</v>
      </c>
      <c r="N13" s="39" t="n"/>
    </row>
    <row r="14" ht="20" customHeight="1">
      <c r="A14" s="37" t="inlineStr">
        <is>
          <t>Pupuk &amp; pestisida nabati</t>
        </is>
      </c>
      <c r="B14" s="38" t="n">
        <v>800000</v>
      </c>
      <c r="C14" s="38" t="n">
        <v>800000</v>
      </c>
      <c r="D14" s="38" t="n">
        <v>800000</v>
      </c>
      <c r="E14" s="38" t="n">
        <v>800000</v>
      </c>
      <c r="F14" s="38" t="n">
        <v>800000</v>
      </c>
      <c r="G14" s="38" t="n">
        <v>800000</v>
      </c>
      <c r="H14" s="38" t="n">
        <v>800000</v>
      </c>
      <c r="I14" s="38" t="n">
        <v>800000</v>
      </c>
      <c r="J14" s="38" t="n">
        <v>800000</v>
      </c>
      <c r="K14" s="38" t="n">
        <v>800000</v>
      </c>
      <c r="L14" s="38" t="n">
        <v>800000</v>
      </c>
      <c r="M14" s="38" t="n">
        <v>800000</v>
      </c>
      <c r="N14" s="39" t="n"/>
    </row>
    <row r="15" ht="20" customHeight="1">
      <c r="A15" s="37" t="inlineStr">
        <is>
          <t>Pakan ternak</t>
        </is>
      </c>
      <c r="B15" s="38" t="n">
        <v>1200000</v>
      </c>
      <c r="C15" s="38" t="n">
        <v>1200000</v>
      </c>
      <c r="D15" s="38" t="n">
        <v>1200000</v>
      </c>
      <c r="E15" s="38" t="n">
        <v>1200000</v>
      </c>
      <c r="F15" s="38" t="n">
        <v>1200000</v>
      </c>
      <c r="G15" s="38" t="n">
        <v>1200000</v>
      </c>
      <c r="H15" s="38" t="n">
        <v>1200000</v>
      </c>
      <c r="I15" s="38" t="n">
        <v>1200000</v>
      </c>
      <c r="J15" s="38" t="n">
        <v>1200000</v>
      </c>
      <c r="K15" s="38" t="n">
        <v>1200000</v>
      </c>
      <c r="L15" s="38" t="n">
        <v>1200000</v>
      </c>
      <c r="M15" s="38" t="n">
        <v>1200000</v>
      </c>
      <c r="N15" s="39" t="n"/>
    </row>
    <row r="16" ht="20" customHeight="1">
      <c r="A16" s="37" t="inlineStr">
        <is>
          <t>Biaya panen &amp; packaging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8" t="n">
        <v>500000</v>
      </c>
      <c r="H16" s="38" t="n">
        <v>500000</v>
      </c>
      <c r="I16" s="38" t="n">
        <v>500000</v>
      </c>
      <c r="J16" s="38" t="n">
        <v>500000</v>
      </c>
      <c r="K16" s="38" t="n">
        <v>600000</v>
      </c>
      <c r="L16" s="38" t="n">
        <v>600000</v>
      </c>
      <c r="M16" s="38" t="n">
        <v>700000</v>
      </c>
      <c r="N16" s="39" t="n"/>
    </row>
    <row r="17" ht="22" customHeight="1">
      <c r="A17" s="65" t="inlineStr">
        <is>
          <t>▶ TOTAL COGS</t>
        </is>
      </c>
      <c r="B17" s="66">
        <f>B13+B14+B15+B16</f>
        <v/>
      </c>
      <c r="C17" s="66">
        <f>C13+C14+C15+C16</f>
        <v/>
      </c>
      <c r="D17" s="66">
        <f>D13+D14+D15+D16</f>
        <v/>
      </c>
      <c r="E17" s="66">
        <f>E13+E14+E15+E16</f>
        <v/>
      </c>
      <c r="F17" s="66">
        <f>F13+F14+F15+F16</f>
        <v/>
      </c>
      <c r="G17" s="66">
        <f>G13+G14+G15+G16</f>
        <v/>
      </c>
      <c r="H17" s="66">
        <f>H13+H14+H15+H16</f>
        <v/>
      </c>
      <c r="I17" s="66">
        <f>I13+I14+I15+I16</f>
        <v/>
      </c>
      <c r="J17" s="66">
        <f>J13+J14+J15+J16</f>
        <v/>
      </c>
      <c r="K17" s="66">
        <f>K13+K14+K15+K16</f>
        <v/>
      </c>
      <c r="L17" s="66">
        <f>L13+L14+L15+L16</f>
        <v/>
      </c>
      <c r="M17" s="66">
        <f>M13+M14+M15+M16</f>
        <v/>
      </c>
      <c r="N17" s="67">
        <f>N13+N14+N15+N16</f>
        <v/>
      </c>
    </row>
    <row r="18" ht="24" customHeight="1">
      <c r="A18" s="56" t="inlineStr">
        <is>
          <t>💰 GROSS PROFIT (Rev - COGS)</t>
        </is>
      </c>
      <c r="B18" s="57">
        <f>B10-B17</f>
        <v/>
      </c>
      <c r="C18" s="57">
        <f>C10-C17</f>
        <v/>
      </c>
      <c r="D18" s="57">
        <f>D10-D17</f>
        <v/>
      </c>
      <c r="E18" s="57">
        <f>E10-E17</f>
        <v/>
      </c>
      <c r="F18" s="57">
        <f>F10-F17</f>
        <v/>
      </c>
      <c r="G18" s="57">
        <f>G10-G17</f>
        <v/>
      </c>
      <c r="H18" s="57">
        <f>H10-H17</f>
        <v/>
      </c>
      <c r="I18" s="57">
        <f>I10-I17</f>
        <v/>
      </c>
      <c r="J18" s="57">
        <f>J10-J17</f>
        <v/>
      </c>
      <c r="K18" s="57">
        <f>K10-K17</f>
        <v/>
      </c>
      <c r="L18" s="57">
        <f>L10-L17</f>
        <v/>
      </c>
      <c r="M18" s="57">
        <f>M10-M17</f>
        <v/>
      </c>
      <c r="N18" s="58">
        <f>N10-N17</f>
        <v/>
      </c>
    </row>
    <row r="20">
      <c r="A20" s="68" t="inlineStr">
        <is>
          <t xml:space="preserve">  ⚙️ OPEX (Biaya Operasional)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8" t="n"/>
    </row>
    <row r="21" ht="20" customHeight="1">
      <c r="A21" s="37" t="inlineStr">
        <is>
          <t>Gaji advance tenaga lokal</t>
        </is>
      </c>
      <c r="B21" s="38" t="n">
        <v>3000000</v>
      </c>
      <c r="C21" s="38" t="n">
        <v>3000000</v>
      </c>
      <c r="D21" s="38" t="n">
        <v>3000000</v>
      </c>
      <c r="E21" s="38" t="n">
        <v>3000000</v>
      </c>
      <c r="F21" s="38" t="n">
        <v>3000000</v>
      </c>
      <c r="G21" s="38" t="n">
        <v>3000000</v>
      </c>
      <c r="H21" s="38" t="n">
        <v>3000000</v>
      </c>
      <c r="I21" s="38" t="n">
        <v>3000000</v>
      </c>
      <c r="J21" s="38" t="n">
        <v>3000000</v>
      </c>
      <c r="K21" s="38" t="n">
        <v>3000000</v>
      </c>
      <c r="L21" s="38" t="n">
        <v>3000000</v>
      </c>
      <c r="M21" s="38" t="n">
        <v>3000000</v>
      </c>
      <c r="N21" s="39" t="n"/>
    </row>
    <row r="22" ht="20" customHeight="1">
      <c r="A22" s="37" t="inlineStr">
        <is>
          <t>Biaya makan anak binaan</t>
        </is>
      </c>
      <c r="B22" s="38" t="n">
        <v>5000000</v>
      </c>
      <c r="C22" s="38" t="n">
        <v>5000000</v>
      </c>
      <c r="D22" s="38" t="n">
        <v>5000000</v>
      </c>
      <c r="E22" s="38" t="n">
        <v>5000000</v>
      </c>
      <c r="F22" s="38" t="n">
        <v>5000000</v>
      </c>
      <c r="G22" s="38" t="n">
        <v>5000000</v>
      </c>
      <c r="H22" s="38" t="n">
        <v>5000000</v>
      </c>
      <c r="I22" s="38" t="n">
        <v>5000000</v>
      </c>
      <c r="J22" s="38" t="n">
        <v>5000000</v>
      </c>
      <c r="K22" s="38" t="n">
        <v>5000000</v>
      </c>
      <c r="L22" s="38" t="n">
        <v>5000000</v>
      </c>
      <c r="M22" s="38" t="n">
        <v>5000000</v>
      </c>
      <c r="N22" s="39" t="n"/>
    </row>
    <row r="23" ht="20" customHeight="1">
      <c r="A23" s="37" t="inlineStr">
        <is>
          <t>Operasional harian</t>
        </is>
      </c>
      <c r="B23" s="38" t="n">
        <v>2000000</v>
      </c>
      <c r="C23" s="38" t="n">
        <v>2000000</v>
      </c>
      <c r="D23" s="38" t="n">
        <v>2000000</v>
      </c>
      <c r="E23" s="38" t="n">
        <v>2000000</v>
      </c>
      <c r="F23" s="38" t="n">
        <v>2000000</v>
      </c>
      <c r="G23" s="38" t="n">
        <v>2000000</v>
      </c>
      <c r="H23" s="38" t="n">
        <v>2000000</v>
      </c>
      <c r="I23" s="38" t="n">
        <v>2000000</v>
      </c>
      <c r="J23" s="38" t="n">
        <v>2000000</v>
      </c>
      <c r="K23" s="38" t="n">
        <v>2000000</v>
      </c>
      <c r="L23" s="38" t="n">
        <v>2000000</v>
      </c>
      <c r="M23" s="38" t="n">
        <v>2000000</v>
      </c>
      <c r="N23" s="39" t="n"/>
    </row>
    <row r="24" ht="20" customHeight="1">
      <c r="A24" s="37" t="inlineStr">
        <is>
          <t>Listrik &amp; air</t>
        </is>
      </c>
      <c r="B24" s="38" t="n">
        <v>500000</v>
      </c>
      <c r="C24" s="38" t="n">
        <v>500000</v>
      </c>
      <c r="D24" s="38" t="n">
        <v>500000</v>
      </c>
      <c r="E24" s="38" t="n">
        <v>500000</v>
      </c>
      <c r="F24" s="38" t="n">
        <v>500000</v>
      </c>
      <c r="G24" s="38" t="n">
        <v>500000</v>
      </c>
      <c r="H24" s="38" t="n">
        <v>500000</v>
      </c>
      <c r="I24" s="38" t="n">
        <v>500000</v>
      </c>
      <c r="J24" s="38" t="n">
        <v>500000</v>
      </c>
      <c r="K24" s="38" t="n">
        <v>500000</v>
      </c>
      <c r="L24" s="38" t="n">
        <v>500000</v>
      </c>
      <c r="M24" s="38" t="n">
        <v>500000</v>
      </c>
      <c r="N24" s="39" t="n"/>
    </row>
    <row r="25" ht="20" customHeight="1">
      <c r="A25" s="37" t="inlineStr">
        <is>
          <t>Admin, legal, komunikasi</t>
        </is>
      </c>
      <c r="B25" s="38" t="n">
        <v>300000</v>
      </c>
      <c r="C25" s="38" t="n">
        <v>300000</v>
      </c>
      <c r="D25" s="38" t="n">
        <v>300000</v>
      </c>
      <c r="E25" s="38" t="n">
        <v>300000</v>
      </c>
      <c r="F25" s="38" t="n">
        <v>300000</v>
      </c>
      <c r="G25" s="38" t="n">
        <v>300000</v>
      </c>
      <c r="H25" s="38" t="n">
        <v>300000</v>
      </c>
      <c r="I25" s="38" t="n">
        <v>300000</v>
      </c>
      <c r="J25" s="38" t="n">
        <v>300000</v>
      </c>
      <c r="K25" s="38" t="n">
        <v>300000</v>
      </c>
      <c r="L25" s="38" t="n">
        <v>300000</v>
      </c>
      <c r="M25" s="38" t="n">
        <v>300000</v>
      </c>
      <c r="N25" s="39" t="n"/>
    </row>
    <row r="26" ht="20" customHeight="1">
      <c r="A26" s="37" t="inlineStr">
        <is>
          <t>Marketing &amp; fundraising</t>
        </is>
      </c>
      <c r="B26" s="38" t="n">
        <v>500000</v>
      </c>
      <c r="C26" s="38" t="n">
        <v>500000</v>
      </c>
      <c r="D26" s="38" t="n">
        <v>500000</v>
      </c>
      <c r="E26" s="38" t="n">
        <v>500000</v>
      </c>
      <c r="F26" s="38" t="n">
        <v>500000</v>
      </c>
      <c r="G26" s="38" t="n">
        <v>500000</v>
      </c>
      <c r="H26" s="38" t="n">
        <v>500000</v>
      </c>
      <c r="I26" s="38" t="n">
        <v>500000</v>
      </c>
      <c r="J26" s="38" t="n">
        <v>500000</v>
      </c>
      <c r="K26" s="38" t="n">
        <v>500000</v>
      </c>
      <c r="L26" s="38" t="n">
        <v>500000</v>
      </c>
      <c r="M26" s="38" t="n">
        <v>500000</v>
      </c>
      <c r="N26" s="39" t="n"/>
    </row>
    <row r="27" ht="22" customHeight="1">
      <c r="A27" s="69" t="inlineStr">
        <is>
          <t>▶ TOTAL OPEX</t>
        </is>
      </c>
      <c r="B27" s="70">
        <f>B21+B22+B23+B24+B25+B26</f>
        <v/>
      </c>
      <c r="C27" s="70">
        <f>C21+C22+C23+C24+C25+C26</f>
        <v/>
      </c>
      <c r="D27" s="70">
        <f>D21+D22+D23+D24+D25+D26</f>
        <v/>
      </c>
      <c r="E27" s="70">
        <f>E21+E22+E23+E24+E25+E26</f>
        <v/>
      </c>
      <c r="F27" s="70">
        <f>F21+F22+F23+F24+F25+F26</f>
        <v/>
      </c>
      <c r="G27" s="70">
        <f>G21+G22+G23+G24+G25+G26</f>
        <v/>
      </c>
      <c r="H27" s="70">
        <f>H21+H22+H23+H24+H25+H26</f>
        <v/>
      </c>
      <c r="I27" s="70">
        <f>I21+I22+I23+I24+I25+I26</f>
        <v/>
      </c>
      <c r="J27" s="70">
        <f>J21+J22+J23+J24+J25+J26</f>
        <v/>
      </c>
      <c r="K27" s="70">
        <f>K21+K22+K23+K24+K25+K26</f>
        <v/>
      </c>
      <c r="L27" s="70">
        <f>L21+L22+L23+L24+L25+L26</f>
        <v/>
      </c>
      <c r="M27" s="70">
        <f>M21+M22+M23+M24+M25+M26</f>
        <v/>
      </c>
      <c r="N27" s="71">
        <f>N21+N22+N23+N24+N25+N26</f>
        <v/>
      </c>
    </row>
    <row r="29" ht="30" customHeight="1">
      <c r="A29" s="72" t="inlineStr">
        <is>
          <t>🏆 NET PROFIT / LOSS</t>
        </is>
      </c>
      <c r="B29" s="73">
        <f>B18-B27</f>
        <v/>
      </c>
      <c r="C29" s="73">
        <f>C18-C27</f>
        <v/>
      </c>
      <c r="D29" s="73">
        <f>D18-D27</f>
        <v/>
      </c>
      <c r="E29" s="73">
        <f>E18-E27</f>
        <v/>
      </c>
      <c r="F29" s="73">
        <f>F18-F27</f>
        <v/>
      </c>
      <c r="G29" s="73">
        <f>G18-G27</f>
        <v/>
      </c>
      <c r="H29" s="73">
        <f>H18-H27</f>
        <v/>
      </c>
      <c r="I29" s="73">
        <f>I18-I27</f>
        <v/>
      </c>
      <c r="J29" s="73">
        <f>J18-J27</f>
        <v/>
      </c>
      <c r="K29" s="73">
        <f>K18-K27</f>
        <v/>
      </c>
      <c r="L29" s="73">
        <f>L18-L27</f>
        <v/>
      </c>
      <c r="M29" s="73">
        <f>M18-M27</f>
        <v/>
      </c>
      <c r="N29" s="74">
        <f>N18-N27</f>
        <v/>
      </c>
    </row>
  </sheetData>
  <mergeCells count="6">
    <mergeCell ref="A3:N3"/>
    <mergeCell ref="A6:N6"/>
    <mergeCell ref="A12:N12"/>
    <mergeCell ref="A20:N20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8" customWidth="1" min="14" max="14"/>
  </cols>
  <sheetData>
    <row r="1" ht="44" customHeight="1">
      <c r="A1" s="1" t="inlineStr">
        <is>
          <t>🎯 ANALISA TARGET MARKET &amp; DATABASE BUYER PROSPECT</t>
        </is>
      </c>
    </row>
    <row r="2" ht="18" customHeight="1">
      <c r="A2" s="2" t="inlineStr">
        <is>
          <t>Isi sel merah = buyer nyata yang harus dikunci SEBELUM panen pertama · Buyer tanpa kontrak = risiko gagal jual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2" customHeight="1">
      <c r="A5" s="29" t="inlineStr">
        <is>
          <t>A. TAM / SAM / SOM — UKURAN PASAR (Investor Selalu Tanya)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8" t="n"/>
    </row>
    <row r="6" ht="22" customHeight="1">
      <c r="A6" s="33" t="inlineStr">
        <is>
          <t xml:space="preserve">  TAM = Total pasar rempah organik Indonesia. SAM = Pasar yang bisa dilayani Nawa Cahaya. SOM = Pasar yang realistis direbut Tahun 1–2.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8" t="n"/>
    </row>
    <row r="7" ht="20" customHeight="1">
      <c r="A7" s="30" t="inlineStr">
        <is>
          <t>TAM — Total market rempah organik Indonesia/tahun</t>
        </is>
      </c>
      <c r="B7" s="14" t="n"/>
      <c r="C7" s="14" t="n"/>
      <c r="D7" s="14" t="n"/>
      <c r="E7" s="14" t="n"/>
      <c r="F7" s="31" t="inlineStr">
        <is>
          <t>← ISI Rp (riset pasar)</t>
        </is>
      </c>
      <c r="G7" s="14" t="n"/>
      <c r="H7" s="14" t="n"/>
      <c r="I7" s="14" t="n"/>
      <c r="J7" s="14" t="n"/>
      <c r="K7" s="14" t="n"/>
      <c r="L7" s="22" t="inlineStr">
        <is>
          <t>🔴 ISI</t>
        </is>
      </c>
      <c r="M7" s="14" t="n"/>
      <c r="N7" s="18" t="n"/>
    </row>
    <row r="8" ht="20" customHeight="1">
      <c r="A8" s="30" t="inlineStr">
        <is>
          <t>SAM — Market rempah organik Jawa Barat/tahun</t>
        </is>
      </c>
      <c r="B8" s="14" t="n"/>
      <c r="C8" s="14" t="n"/>
      <c r="D8" s="14" t="n"/>
      <c r="E8" s="14" t="n"/>
      <c r="F8" s="31" t="inlineStr">
        <is>
          <t>← ISI Rp</t>
        </is>
      </c>
      <c r="G8" s="14" t="n"/>
      <c r="H8" s="14" t="n"/>
      <c r="I8" s="14" t="n"/>
      <c r="J8" s="14" t="n"/>
      <c r="K8" s="14" t="n"/>
      <c r="L8" s="22" t="inlineStr">
        <is>
          <t>🔴 ISI</t>
        </is>
      </c>
      <c r="M8" s="14" t="n"/>
      <c r="N8" s="18" t="n"/>
    </row>
    <row r="9" ht="20" customHeight="1">
      <c r="A9" s="30" t="inlineStr">
        <is>
          <t>SOM Tahun 1 — Target realistis Nawa Cahaya</t>
        </is>
      </c>
      <c r="B9" s="14" t="n"/>
      <c r="C9" s="14" t="n"/>
      <c r="D9" s="14" t="n"/>
      <c r="E9" s="14" t="n"/>
      <c r="F9" s="31" t="inlineStr">
        <is>
          <t>← ISI Rp (dari proyeksi revenue lo)</t>
        </is>
      </c>
      <c r="G9" s="14" t="n"/>
      <c r="H9" s="14" t="n"/>
      <c r="I9" s="14" t="n"/>
      <c r="J9" s="14" t="n"/>
      <c r="K9" s="14" t="n"/>
      <c r="L9" s="22" t="inlineStr">
        <is>
          <t>🔴 ISI</t>
        </is>
      </c>
      <c r="M9" s="14" t="n"/>
      <c r="N9" s="18" t="n"/>
    </row>
    <row r="10" ht="20" customHeight="1">
      <c r="A10" s="30" t="inlineStr">
        <is>
          <t>SOM Tahun 2 — Target ekspansi</t>
        </is>
      </c>
      <c r="B10" s="14" t="n"/>
      <c r="C10" s="14" t="n"/>
      <c r="D10" s="14" t="n"/>
      <c r="E10" s="14" t="n"/>
      <c r="F10" s="31" t="inlineStr">
        <is>
          <t>← ISI Rp</t>
        </is>
      </c>
      <c r="G10" s="14" t="n"/>
      <c r="H10" s="14" t="n"/>
      <c r="I10" s="14" t="n"/>
      <c r="J10" s="14" t="n"/>
      <c r="K10" s="14" t="n"/>
      <c r="L10" s="22" t="inlineStr">
        <is>
          <t>🔴 ISI</t>
        </is>
      </c>
      <c r="M10" s="14" t="n"/>
      <c r="N10" s="18" t="n"/>
    </row>
    <row r="11" ht="20" customHeight="1">
      <c r="A11" s="30" t="inlineStr">
        <is>
          <t>Market share target Tahun 1 (%)</t>
        </is>
      </c>
      <c r="B11" s="14" t="n"/>
      <c r="C11" s="14" t="n"/>
      <c r="D11" s="14" t="n"/>
      <c r="E11" s="14" t="n"/>
      <c r="F11" s="31" t="inlineStr">
        <is>
          <t>← ISI % dari SAM</t>
        </is>
      </c>
      <c r="G11" s="14" t="n"/>
      <c r="H11" s="14" t="n"/>
      <c r="I11" s="14" t="n"/>
      <c r="J11" s="14" t="n"/>
      <c r="K11" s="14" t="n"/>
      <c r="L11" s="22" t="inlineStr">
        <is>
          <t>🔴 ISI</t>
        </is>
      </c>
      <c r="M11" s="14" t="n"/>
      <c r="N11" s="18" t="n"/>
    </row>
    <row r="12" ht="20" customHeight="1">
      <c r="A12" s="30" t="inlineStr">
        <is>
          <t>Pertumbuhan pasar rempah organik/tahun (%)</t>
        </is>
      </c>
      <c r="B12" s="14" t="n"/>
      <c r="C12" s="14" t="n"/>
      <c r="D12" s="14" t="n"/>
      <c r="E12" s="14" t="n"/>
      <c r="F12" s="26" t="inlineStr">
        <is>
          <t>8–12% (global trend)</t>
        </is>
      </c>
      <c r="G12" s="14" t="n"/>
      <c r="H12" s="14" t="n"/>
      <c r="I12" s="14" t="n"/>
      <c r="J12" s="14" t="n"/>
      <c r="K12" s="14" t="n"/>
      <c r="L12" s="17" t="inlineStr">
        <is>
          <t>✅</t>
        </is>
      </c>
      <c r="M12" s="14" t="n"/>
      <c r="N12" s="18" t="n"/>
    </row>
    <row r="13" ht="20" customHeight="1">
      <c r="A13" s="30" t="inlineStr">
        <is>
          <t>Jumlah kompetitor utama di area Bogor</t>
        </is>
      </c>
      <c r="B13" s="14" t="n"/>
      <c r="C13" s="14" t="n"/>
      <c r="D13" s="14" t="n"/>
      <c r="E13" s="14" t="n"/>
      <c r="F13" s="31" t="inlineStr">
        <is>
          <t>← ISI ANGKA</t>
        </is>
      </c>
      <c r="G13" s="14" t="n"/>
      <c r="H13" s="14" t="n"/>
      <c r="I13" s="14" t="n"/>
      <c r="J13" s="14" t="n"/>
      <c r="K13" s="14" t="n"/>
      <c r="L13" s="22" t="inlineStr">
        <is>
          <t>🔴 ISI</t>
        </is>
      </c>
      <c r="M13" s="14" t="n"/>
      <c r="N13" s="18" t="n"/>
    </row>
    <row r="14" ht="20" customHeight="1">
      <c r="A14" s="30" t="inlineStr">
        <is>
          <t>Keunggulan vs kompetitor</t>
        </is>
      </c>
      <c r="B14" s="14" t="n"/>
      <c r="C14" s="14" t="n"/>
      <c r="D14" s="14" t="n"/>
      <c r="E14" s="14" t="n"/>
      <c r="F14" s="26" t="inlineStr">
        <is>
          <t>Organik 100% + transparansi + cerita sosial yayasan</t>
        </is>
      </c>
      <c r="G14" s="14" t="n"/>
      <c r="H14" s="14" t="n"/>
      <c r="I14" s="14" t="n"/>
      <c r="J14" s="14" t="n"/>
      <c r="K14" s="14" t="n"/>
      <c r="L14" s="17" t="inlineStr">
        <is>
          <t>✅</t>
        </is>
      </c>
      <c r="M14" s="14" t="n"/>
      <c r="N14" s="18" t="n"/>
    </row>
    <row r="16" ht="22" customHeight="1">
      <c r="A16" s="29" t="inlineStr">
        <is>
          <t>B. DATABASE BUYER PROSPECT — ISI NAMA NYATA, BUKAN PERKIRAAN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8" t="n"/>
    </row>
    <row r="17" ht="22" customHeight="1">
      <c r="A17" s="33" t="inlineStr">
        <is>
          <t xml:space="preserve">  Target: Kunci minimal 3 buyer dengan komitmen pembelian SEBELUM tanam pertama. MOU/kontrak trial 1 bulan.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8" t="n"/>
    </row>
    <row r="18" ht="26" customHeight="1">
      <c r="A18" s="75" t="inlineStr">
        <is>
          <t>No</t>
        </is>
      </c>
      <c r="B18" s="76" t="inlineStr">
        <is>
          <t>Nama Tempat / Buyer</t>
        </is>
      </c>
      <c r="C18" s="76" t="inlineStr">
        <is>
          <t>Tipe</t>
        </is>
      </c>
      <c r="D18" s="76" t="inlineStr">
        <is>
          <t>Kota</t>
        </is>
      </c>
      <c r="E18" s="76" t="inlineStr">
        <is>
          <t>PIC / Kontak</t>
        </is>
      </c>
      <c r="F18" s="76" t="inlineStr">
        <is>
          <t>No. WA/Tel</t>
        </is>
      </c>
      <c r="G18" s="76" t="inlineStr">
        <is>
          <t>Komoditi Dibutuhkan</t>
        </is>
      </c>
      <c r="H18" s="76" t="inlineStr">
        <is>
          <t>Vol/Bulan (kg)</t>
        </is>
      </c>
      <c r="I18" s="76" t="inlineStr">
        <is>
          <t>Harga Deal</t>
        </is>
      </c>
      <c r="J18" s="76" t="inlineStr">
        <is>
          <t>Status</t>
        </is>
      </c>
      <c r="K18" s="76" t="inlineStr">
        <is>
          <t>Tgl Follow Up</t>
        </is>
      </c>
      <c r="L18" s="76" t="inlineStr">
        <is>
          <t>Action</t>
        </is>
      </c>
      <c r="M18" s="77" t="n"/>
      <c r="N18" s="78" t="n"/>
    </row>
    <row r="19" ht="22" customHeight="1">
      <c r="A19" s="11" t="n">
        <v>1</v>
      </c>
      <c r="B19" s="31" t="inlineStr">
        <is>
          <t>← Nama Restoran Western/Fine Dining spesifik</t>
        </is>
      </c>
      <c r="C19" s="79" t="inlineStr">
        <is>
          <t>Resto</t>
        </is>
      </c>
      <c r="D19" s="31" t="inlineStr">
        <is>
          <t>Bogor</t>
        </is>
      </c>
      <c r="E19" s="31" t="inlineStr">
        <is>
          <t>← Nama PIC/Chef</t>
        </is>
      </c>
      <c r="F19" s="31" t="inlineStr">
        <is>
          <t>← No. WA</t>
        </is>
      </c>
      <c r="G19" s="31" t="inlineStr">
        <is>
          <t>← Komoditi apa?</t>
        </is>
      </c>
      <c r="H19" s="31" t="inlineStr">
        <is>
          <t>← kg/bln</t>
        </is>
      </c>
      <c r="I19" s="31" t="inlineStr">
        <is>
          <t>← Rp/kg</t>
        </is>
      </c>
      <c r="J19" s="31" t="inlineStr">
        <is>
          <t>← Prospect/Nego/Deal</t>
        </is>
      </c>
      <c r="K19" s="31" t="inlineStr">
        <is>
          <t>← DD/MM</t>
        </is>
      </c>
      <c r="L19" s="80" t="inlineStr">
        <is>
          <t>← ISI RENCANA</t>
        </is>
      </c>
      <c r="M19" s="14" t="n"/>
      <c r="N19" s="18" t="n"/>
    </row>
    <row r="20" ht="22" customHeight="1">
      <c r="A20" s="11" t="n">
        <v>2</v>
      </c>
      <c r="B20" s="31" t="inlineStr">
        <is>
          <t>← Nama Hotel Bintang 4–5 (F&amp;B Dept.) spesifik</t>
        </is>
      </c>
      <c r="C20" s="79" t="inlineStr">
        <is>
          <t>Hotel</t>
        </is>
      </c>
      <c r="D20" s="31" t="inlineStr">
        <is>
          <t>Bogor</t>
        </is>
      </c>
      <c r="E20" s="31" t="inlineStr">
        <is>
          <t>← Nama PIC/Chef</t>
        </is>
      </c>
      <c r="F20" s="31" t="inlineStr">
        <is>
          <t>← No. WA</t>
        </is>
      </c>
      <c r="G20" s="31" t="inlineStr">
        <is>
          <t>← Komoditi apa?</t>
        </is>
      </c>
      <c r="H20" s="31" t="inlineStr">
        <is>
          <t>← kg/bln</t>
        </is>
      </c>
      <c r="I20" s="31" t="inlineStr">
        <is>
          <t>← Rp/kg</t>
        </is>
      </c>
      <c r="J20" s="31" t="inlineStr">
        <is>
          <t>← Prospect/Nego/Deal</t>
        </is>
      </c>
      <c r="K20" s="31" t="inlineStr">
        <is>
          <t>← DD/MM</t>
        </is>
      </c>
      <c r="L20" s="80" t="inlineStr">
        <is>
          <t>← ISI RENCANA</t>
        </is>
      </c>
      <c r="M20" s="14" t="n"/>
      <c r="N20" s="18" t="n"/>
    </row>
    <row r="21" ht="22" customHeight="1">
      <c r="A21" s="11" t="n">
        <v>3</v>
      </c>
      <c r="B21" s="31" t="inlineStr">
        <is>
          <t>← Nama Bar &amp; Cocktail Lounge spesifik</t>
        </is>
      </c>
      <c r="C21" s="79" t="inlineStr">
        <is>
          <t>Bar</t>
        </is>
      </c>
      <c r="D21" s="31" t="inlineStr">
        <is>
          <t>Bogor</t>
        </is>
      </c>
      <c r="E21" s="31" t="inlineStr">
        <is>
          <t>← Nama PIC/Chef</t>
        </is>
      </c>
      <c r="F21" s="31" t="inlineStr">
        <is>
          <t>← No. WA</t>
        </is>
      </c>
      <c r="G21" s="31" t="inlineStr">
        <is>
          <t>← Komoditi apa?</t>
        </is>
      </c>
      <c r="H21" s="31" t="inlineStr">
        <is>
          <t>← kg/bln</t>
        </is>
      </c>
      <c r="I21" s="31" t="inlineStr">
        <is>
          <t>← Rp/kg</t>
        </is>
      </c>
      <c r="J21" s="31" t="inlineStr">
        <is>
          <t>← Prospect/Nego/Deal</t>
        </is>
      </c>
      <c r="K21" s="31" t="inlineStr">
        <is>
          <t>← DD/MM</t>
        </is>
      </c>
      <c r="L21" s="80" t="inlineStr">
        <is>
          <t>← ISI RENCANA</t>
        </is>
      </c>
      <c r="M21" s="14" t="n"/>
      <c r="N21" s="18" t="n"/>
    </row>
    <row r="22" ht="22" customHeight="1">
      <c r="A22" s="11" t="n">
        <v>4</v>
      </c>
      <c r="B22" s="31" t="inlineStr">
        <is>
          <t>← Nama Café Healthy/Brunch spesifik</t>
        </is>
      </c>
      <c r="C22" s="79" t="inlineStr">
        <is>
          <t>Café</t>
        </is>
      </c>
      <c r="D22" s="31" t="inlineStr">
        <is>
          <t>Bogor</t>
        </is>
      </c>
      <c r="E22" s="31" t="inlineStr">
        <is>
          <t>← Nama PIC/Chef</t>
        </is>
      </c>
      <c r="F22" s="31" t="inlineStr">
        <is>
          <t>← No. WA</t>
        </is>
      </c>
      <c r="G22" s="31" t="inlineStr">
        <is>
          <t>← Komoditi apa?</t>
        </is>
      </c>
      <c r="H22" s="31" t="inlineStr">
        <is>
          <t>← kg/bln</t>
        </is>
      </c>
      <c r="I22" s="31" t="inlineStr">
        <is>
          <t>← Rp/kg</t>
        </is>
      </c>
      <c r="J22" s="31" t="inlineStr">
        <is>
          <t>← Prospect/Nego/Deal</t>
        </is>
      </c>
      <c r="K22" s="31" t="inlineStr">
        <is>
          <t>← DD/MM</t>
        </is>
      </c>
      <c r="L22" s="80" t="inlineStr">
        <is>
          <t>← ISI RENCANA</t>
        </is>
      </c>
      <c r="M22" s="14" t="n"/>
      <c r="N22" s="18" t="n"/>
    </row>
    <row r="23" ht="22" customHeight="1">
      <c r="A23" s="11" t="n">
        <v>5</v>
      </c>
      <c r="B23" s="31" t="inlineStr">
        <is>
          <t>← Nama Supermarket Premium spesifik</t>
        </is>
      </c>
      <c r="C23" s="79" t="inlineStr">
        <is>
          <t>Retail</t>
        </is>
      </c>
      <c r="D23" s="31" t="inlineStr">
        <is>
          <t>Bogor</t>
        </is>
      </c>
      <c r="E23" s="31" t="inlineStr">
        <is>
          <t>← Nama PIC/Chef</t>
        </is>
      </c>
      <c r="F23" s="31" t="inlineStr">
        <is>
          <t>← No. WA</t>
        </is>
      </c>
      <c r="G23" s="31" t="inlineStr">
        <is>
          <t>← Komoditi apa?</t>
        </is>
      </c>
      <c r="H23" s="31" t="inlineStr">
        <is>
          <t>← kg/bln</t>
        </is>
      </c>
      <c r="I23" s="31" t="inlineStr">
        <is>
          <t>← Rp/kg</t>
        </is>
      </c>
      <c r="J23" s="31" t="inlineStr">
        <is>
          <t>← Prospect/Nego/Deal</t>
        </is>
      </c>
      <c r="K23" s="31" t="inlineStr">
        <is>
          <t>← DD/MM</t>
        </is>
      </c>
      <c r="L23" s="80" t="inlineStr">
        <is>
          <t>← ISI RENCANA</t>
        </is>
      </c>
      <c r="M23" s="14" t="n"/>
      <c r="N23" s="18" t="n"/>
    </row>
    <row r="24" ht="22" customHeight="1">
      <c r="A24" s="11" t="n">
        <v>6</v>
      </c>
      <c r="B24" s="31" t="inlineStr">
        <is>
          <t>← Nama Eksportir Rempah spesifik</t>
        </is>
      </c>
      <c r="C24" s="79" t="inlineStr">
        <is>
          <t>Eksportir</t>
        </is>
      </c>
      <c r="D24" s="31" t="inlineStr">
        <is>
          <t>Jakarta</t>
        </is>
      </c>
      <c r="E24" s="31" t="inlineStr">
        <is>
          <t>← Nama PIC/Chef</t>
        </is>
      </c>
      <c r="F24" s="31" t="inlineStr">
        <is>
          <t>← No. WA</t>
        </is>
      </c>
      <c r="G24" s="31" t="inlineStr">
        <is>
          <t>← Komoditi apa?</t>
        </is>
      </c>
      <c r="H24" s="31" t="inlineStr">
        <is>
          <t>← kg/bln</t>
        </is>
      </c>
      <c r="I24" s="31" t="inlineStr">
        <is>
          <t>← Rp/kg</t>
        </is>
      </c>
      <c r="J24" s="31" t="inlineStr">
        <is>
          <t>← Prospect/Nego/Deal</t>
        </is>
      </c>
      <c r="K24" s="31" t="inlineStr">
        <is>
          <t>← DD/MM</t>
        </is>
      </c>
      <c r="L24" s="80" t="inlineStr">
        <is>
          <t>← ISI RENCANA</t>
        </is>
      </c>
      <c r="M24" s="14" t="n"/>
      <c r="N24" s="18" t="n"/>
    </row>
    <row r="25" ht="22" customHeight="1">
      <c r="A25" s="11" t="n">
        <v>7</v>
      </c>
      <c r="B25" s="31" t="inlineStr">
        <is>
          <t>← Nama Eksportir Rempah spesifik</t>
        </is>
      </c>
      <c r="C25" s="79" t="inlineStr">
        <is>
          <t>Eksportir</t>
        </is>
      </c>
      <c r="D25" s="31" t="inlineStr">
        <is>
          <t>Jakarta</t>
        </is>
      </c>
      <c r="E25" s="31" t="inlineStr">
        <is>
          <t>← Nama PIC/Chef</t>
        </is>
      </c>
      <c r="F25" s="31" t="inlineStr">
        <is>
          <t>← No. WA</t>
        </is>
      </c>
      <c r="G25" s="31" t="inlineStr">
        <is>
          <t>← Komoditi apa?</t>
        </is>
      </c>
      <c r="H25" s="31" t="inlineStr">
        <is>
          <t>← kg/bln</t>
        </is>
      </c>
      <c r="I25" s="31" t="inlineStr">
        <is>
          <t>← Rp/kg</t>
        </is>
      </c>
      <c r="J25" s="31" t="inlineStr">
        <is>
          <t>← Prospect/Nego/Deal</t>
        </is>
      </c>
      <c r="K25" s="31" t="inlineStr">
        <is>
          <t>← DD/MM</t>
        </is>
      </c>
      <c r="L25" s="80" t="inlineStr">
        <is>
          <t>← ISI RENCANA</t>
        </is>
      </c>
      <c r="M25" s="14" t="n"/>
      <c r="N25" s="18" t="n"/>
    </row>
    <row r="26" ht="22" customHeight="1">
      <c r="A26" s="11" t="n">
        <v>8</v>
      </c>
      <c r="B26" s="31" t="inlineStr">
        <is>
          <t>← Nama Toko Organik spesifik</t>
        </is>
      </c>
      <c r="C26" s="79" t="inlineStr">
        <is>
          <t>Retail Organik</t>
        </is>
      </c>
      <c r="D26" s="31" t="inlineStr">
        <is>
          <t>Bogor</t>
        </is>
      </c>
      <c r="E26" s="31" t="inlineStr">
        <is>
          <t>← Nama PIC/Chef</t>
        </is>
      </c>
      <c r="F26" s="31" t="inlineStr">
        <is>
          <t>← No. WA</t>
        </is>
      </c>
      <c r="G26" s="31" t="inlineStr">
        <is>
          <t>← Komoditi apa?</t>
        </is>
      </c>
      <c r="H26" s="31" t="inlineStr">
        <is>
          <t>← kg/bln</t>
        </is>
      </c>
      <c r="I26" s="31" t="inlineStr">
        <is>
          <t>← Rp/kg</t>
        </is>
      </c>
      <c r="J26" s="31" t="inlineStr">
        <is>
          <t>← Prospect/Nego/Deal</t>
        </is>
      </c>
      <c r="K26" s="31" t="inlineStr">
        <is>
          <t>← DD/MM</t>
        </is>
      </c>
      <c r="L26" s="80" t="inlineStr">
        <is>
          <t>← ISI RENCANA</t>
        </is>
      </c>
      <c r="M26" s="14" t="n"/>
      <c r="N26" s="18" t="n"/>
    </row>
    <row r="27" ht="22" customHeight="1">
      <c r="A27" s="11" t="n">
        <v>9</v>
      </c>
      <c r="B27" s="31" t="inlineStr">
        <is>
          <t>← Nama Catering Perusahaan spesifik</t>
        </is>
      </c>
      <c r="C27" s="79" t="inlineStr">
        <is>
          <t>Catering</t>
        </is>
      </c>
      <c r="D27" s="31" t="inlineStr">
        <is>
          <t>Bogor</t>
        </is>
      </c>
      <c r="E27" s="31" t="inlineStr">
        <is>
          <t>← Nama PIC/Chef</t>
        </is>
      </c>
      <c r="F27" s="31" t="inlineStr">
        <is>
          <t>← No. WA</t>
        </is>
      </c>
      <c r="G27" s="31" t="inlineStr">
        <is>
          <t>← Komoditi apa?</t>
        </is>
      </c>
      <c r="H27" s="31" t="inlineStr">
        <is>
          <t>← kg/bln</t>
        </is>
      </c>
      <c r="I27" s="31" t="inlineStr">
        <is>
          <t>← Rp/kg</t>
        </is>
      </c>
      <c r="J27" s="31" t="inlineStr">
        <is>
          <t>← Prospect/Nego/Deal</t>
        </is>
      </c>
      <c r="K27" s="31" t="inlineStr">
        <is>
          <t>← DD/MM</t>
        </is>
      </c>
      <c r="L27" s="80" t="inlineStr">
        <is>
          <t>← ISI RENCANA</t>
        </is>
      </c>
      <c r="M27" s="14" t="n"/>
      <c r="N27" s="18" t="n"/>
    </row>
    <row r="28" ht="22" customHeight="1">
      <c r="A28" s="11" t="n">
        <v>10</v>
      </c>
      <c r="B28" s="31" t="inlineStr">
        <is>
          <t>← Nama Direct Consumer (online) spesifik</t>
        </is>
      </c>
      <c r="C28" s="79" t="inlineStr">
        <is>
          <t>B2C</t>
        </is>
      </c>
      <c r="D28" s="31" t="inlineStr">
        <is>
          <t>Nasional</t>
        </is>
      </c>
      <c r="E28" s="31" t="inlineStr">
        <is>
          <t>← Nama PIC/Chef</t>
        </is>
      </c>
      <c r="F28" s="31" t="inlineStr">
        <is>
          <t>← No. WA</t>
        </is>
      </c>
      <c r="G28" s="31" t="inlineStr">
        <is>
          <t>← Komoditi apa?</t>
        </is>
      </c>
      <c r="H28" s="31" t="inlineStr">
        <is>
          <t>← kg/bln</t>
        </is>
      </c>
      <c r="I28" s="31" t="inlineStr">
        <is>
          <t>← Rp/kg</t>
        </is>
      </c>
      <c r="J28" s="31" t="inlineStr">
        <is>
          <t>← Prospect/Nego/Deal</t>
        </is>
      </c>
      <c r="K28" s="31" t="inlineStr">
        <is>
          <t>← DD/MM</t>
        </is>
      </c>
      <c r="L28" s="80" t="inlineStr">
        <is>
          <t>← ISI RENCANA</t>
        </is>
      </c>
      <c r="M28" s="14" t="n"/>
      <c r="N28" s="18" t="n"/>
    </row>
    <row r="29" ht="22" customHeight="1">
      <c r="A29" s="11" t="n">
        <v>11</v>
      </c>
      <c r="B29" s="31" t="inlineStr">
        <is>
          <t>← Nama Backup Buyer 1 spesifik</t>
        </is>
      </c>
      <c r="C29" s="79" t="inlineStr">
        <is>
          <t>Backup</t>
        </is>
      </c>
      <c r="D29" s="31" t="inlineStr">
        <is>
          <t>← ISI KOTA</t>
        </is>
      </c>
      <c r="E29" s="31" t="inlineStr">
        <is>
          <t>← Nama PIC/Chef</t>
        </is>
      </c>
      <c r="F29" s="31" t="inlineStr">
        <is>
          <t>← No. WA</t>
        </is>
      </c>
      <c r="G29" s="31" t="inlineStr">
        <is>
          <t>← Komoditi apa?</t>
        </is>
      </c>
      <c r="H29" s="31" t="inlineStr">
        <is>
          <t>← kg/bln</t>
        </is>
      </c>
      <c r="I29" s="31" t="inlineStr">
        <is>
          <t>← Rp/kg</t>
        </is>
      </c>
      <c r="J29" s="31" t="inlineStr">
        <is>
          <t>← Prospect/Nego/Deal</t>
        </is>
      </c>
      <c r="K29" s="31" t="inlineStr">
        <is>
          <t>← DD/MM</t>
        </is>
      </c>
      <c r="L29" s="80" t="inlineStr">
        <is>
          <t>← ISI RENCANA</t>
        </is>
      </c>
      <c r="M29" s="14" t="n"/>
      <c r="N29" s="18" t="n"/>
    </row>
    <row r="30" ht="22" customHeight="1">
      <c r="A30" s="11" t="n">
        <v>12</v>
      </c>
      <c r="B30" s="31" t="inlineStr">
        <is>
          <t>← Nama Backup Buyer 2 spesifik</t>
        </is>
      </c>
      <c r="C30" s="79" t="inlineStr">
        <is>
          <t>Backup</t>
        </is>
      </c>
      <c r="D30" s="31" t="inlineStr">
        <is>
          <t>← ISI KOTA</t>
        </is>
      </c>
      <c r="E30" s="31" t="inlineStr">
        <is>
          <t>← Nama PIC/Chef</t>
        </is>
      </c>
      <c r="F30" s="31" t="inlineStr">
        <is>
          <t>← No. WA</t>
        </is>
      </c>
      <c r="G30" s="31" t="inlineStr">
        <is>
          <t>← Komoditi apa?</t>
        </is>
      </c>
      <c r="H30" s="31" t="inlineStr">
        <is>
          <t>← kg/bln</t>
        </is>
      </c>
      <c r="I30" s="31" t="inlineStr">
        <is>
          <t>← Rp/kg</t>
        </is>
      </c>
      <c r="J30" s="31" t="inlineStr">
        <is>
          <t>← Prospect/Nego/Deal</t>
        </is>
      </c>
      <c r="K30" s="31" t="inlineStr">
        <is>
          <t>← DD/MM</t>
        </is>
      </c>
      <c r="L30" s="80" t="inlineStr">
        <is>
          <t>← ISI RENCANA</t>
        </is>
      </c>
      <c r="M30" s="14" t="n"/>
      <c r="N30" s="18" t="n"/>
    </row>
    <row r="32" ht="22" customHeight="1">
      <c r="A32" s="29" t="inlineStr">
        <is>
          <t>C. ANALISA KOMPETITOR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8" t="n"/>
    </row>
    <row r="33" ht="22" customHeight="1">
      <c r="A33" s="81" t="inlineStr">
        <is>
          <t>No</t>
        </is>
      </c>
      <c r="B33" s="82" t="inlineStr">
        <is>
          <t>Nama Kompetitor</t>
        </is>
      </c>
      <c r="C33" s="82" t="inlineStr">
        <is>
          <t>Lokasi</t>
        </is>
      </c>
      <c r="D33" s="82" t="inlineStr">
        <is>
          <t>Komoditi</t>
        </is>
      </c>
      <c r="E33" s="82" t="inlineStr">
        <is>
          <t>Harga Jual</t>
        </is>
      </c>
      <c r="F33" s="82" t="inlineStr">
        <is>
          <t>Kelemahan Mereka</t>
        </is>
      </c>
      <c r="G33" s="82" t="inlineStr">
        <is>
          <t>Keunggulan Kita</t>
        </is>
      </c>
      <c r="H33" s="8" t="n"/>
      <c r="I33" s="8" t="n"/>
      <c r="J33" s="8" t="n"/>
      <c r="K33" s="8" t="n"/>
      <c r="L33" s="8" t="n"/>
      <c r="M33" s="8" t="n"/>
      <c r="N33" s="10" t="n"/>
    </row>
    <row r="34" ht="22" customHeight="1">
      <c r="A34" s="83" t="n">
        <v>1</v>
      </c>
      <c r="B34" s="31" t="inlineStr">
        <is>
          <t>← ISI</t>
        </is>
      </c>
      <c r="C34" s="31" t="inlineStr">
        <is>
          <t>← ISI</t>
        </is>
      </c>
      <c r="D34" s="31" t="inlineStr">
        <is>
          <t>← ISI</t>
        </is>
      </c>
      <c r="E34" s="31" t="inlineStr">
        <is>
          <t>← ISI</t>
        </is>
      </c>
      <c r="F34" s="31" t="inlineStr">
        <is>
          <t>← ISI</t>
        </is>
      </c>
      <c r="G34" s="31" t="inlineStr">
        <is>
          <t>← ISI</t>
        </is>
      </c>
      <c r="H34" s="14" t="n"/>
      <c r="I34" s="14" t="n"/>
      <c r="J34" s="14" t="n"/>
      <c r="K34" s="14" t="n"/>
      <c r="L34" s="14" t="n"/>
      <c r="M34" s="14" t="n"/>
      <c r="N34" s="18" t="n"/>
    </row>
    <row r="35" ht="22" customHeight="1">
      <c r="A35" s="83" t="n">
        <v>2</v>
      </c>
      <c r="B35" s="31" t="inlineStr">
        <is>
          <t>← ISI</t>
        </is>
      </c>
      <c r="C35" s="31" t="inlineStr">
        <is>
          <t>← ISI</t>
        </is>
      </c>
      <c r="D35" s="31" t="inlineStr">
        <is>
          <t>← ISI</t>
        </is>
      </c>
      <c r="E35" s="31" t="inlineStr">
        <is>
          <t>← ISI</t>
        </is>
      </c>
      <c r="F35" s="31" t="inlineStr">
        <is>
          <t>← ISI</t>
        </is>
      </c>
      <c r="G35" s="31" t="inlineStr">
        <is>
          <t>← ISI</t>
        </is>
      </c>
      <c r="H35" s="14" t="n"/>
      <c r="I35" s="14" t="n"/>
      <c r="J35" s="14" t="n"/>
      <c r="K35" s="14" t="n"/>
      <c r="L35" s="14" t="n"/>
      <c r="M35" s="14" t="n"/>
      <c r="N35" s="18" t="n"/>
    </row>
    <row r="36" ht="22" customHeight="1">
      <c r="A36" s="83" t="n">
        <v>3</v>
      </c>
      <c r="B36" s="31" t="inlineStr">
        <is>
          <t>← ISI</t>
        </is>
      </c>
      <c r="C36" s="31" t="inlineStr">
        <is>
          <t>← ISI</t>
        </is>
      </c>
      <c r="D36" s="31" t="inlineStr">
        <is>
          <t>← ISI</t>
        </is>
      </c>
      <c r="E36" s="31" t="inlineStr">
        <is>
          <t>← ISI</t>
        </is>
      </c>
      <c r="F36" s="31" t="inlineStr">
        <is>
          <t>← ISI</t>
        </is>
      </c>
      <c r="G36" s="31" t="inlineStr">
        <is>
          <t>← ISI</t>
        </is>
      </c>
      <c r="H36" s="14" t="n"/>
      <c r="I36" s="14" t="n"/>
      <c r="J36" s="14" t="n"/>
      <c r="K36" s="14" t="n"/>
      <c r="L36" s="14" t="n"/>
      <c r="M36" s="14" t="n"/>
      <c r="N36" s="18" t="n"/>
    </row>
    <row r="37" ht="22" customHeight="1">
      <c r="A37" s="83" t="n">
        <v>4</v>
      </c>
      <c r="B37" s="31" t="inlineStr">
        <is>
          <t>← ISI</t>
        </is>
      </c>
      <c r="C37" s="31" t="inlineStr">
        <is>
          <t>← ISI</t>
        </is>
      </c>
      <c r="D37" s="31" t="inlineStr">
        <is>
          <t>← ISI</t>
        </is>
      </c>
      <c r="E37" s="31" t="inlineStr">
        <is>
          <t>← ISI</t>
        </is>
      </c>
      <c r="F37" s="31" t="inlineStr">
        <is>
          <t>← ISI</t>
        </is>
      </c>
      <c r="G37" s="31" t="inlineStr">
        <is>
          <t>← ISI</t>
        </is>
      </c>
      <c r="H37" s="14" t="n"/>
      <c r="I37" s="14" t="n"/>
      <c r="J37" s="14" t="n"/>
      <c r="K37" s="14" t="n"/>
      <c r="L37" s="14" t="n"/>
      <c r="M37" s="14" t="n"/>
      <c r="N37" s="18" t="n"/>
    </row>
    <row r="38" ht="22" customHeight="1">
      <c r="A38" s="83" t="n">
        <v>5</v>
      </c>
      <c r="B38" s="31" t="inlineStr">
        <is>
          <t>← ISI</t>
        </is>
      </c>
      <c r="C38" s="31" t="inlineStr">
        <is>
          <t>← ISI</t>
        </is>
      </c>
      <c r="D38" s="31" t="inlineStr">
        <is>
          <t>← ISI</t>
        </is>
      </c>
      <c r="E38" s="31" t="inlineStr">
        <is>
          <t>← ISI</t>
        </is>
      </c>
      <c r="F38" s="31" t="inlineStr">
        <is>
          <t>← ISI</t>
        </is>
      </c>
      <c r="G38" s="31" t="inlineStr">
        <is>
          <t>← ISI</t>
        </is>
      </c>
      <c r="H38" s="14" t="n"/>
      <c r="I38" s="14" t="n"/>
      <c r="J38" s="14" t="n"/>
      <c r="K38" s="14" t="n"/>
      <c r="L38" s="14" t="n"/>
      <c r="M38" s="14" t="n"/>
      <c r="N38" s="18" t="n"/>
    </row>
  </sheetData>
  <mergeCells count="51">
    <mergeCell ref="L24:N24"/>
    <mergeCell ref="L18:N18"/>
    <mergeCell ref="L14:N14"/>
    <mergeCell ref="L23:N23"/>
    <mergeCell ref="A11:E11"/>
    <mergeCell ref="L30:N30"/>
    <mergeCell ref="L8:N8"/>
    <mergeCell ref="G36:N36"/>
    <mergeCell ref="F8:K8"/>
    <mergeCell ref="L20:N20"/>
    <mergeCell ref="L26:N26"/>
    <mergeCell ref="L29:N29"/>
    <mergeCell ref="A1:N1"/>
    <mergeCell ref="L25:N25"/>
    <mergeCell ref="A6:N6"/>
    <mergeCell ref="L10:N10"/>
    <mergeCell ref="A7:E7"/>
    <mergeCell ref="F13:K13"/>
    <mergeCell ref="A16:N16"/>
    <mergeCell ref="L22:N22"/>
    <mergeCell ref="L9:N9"/>
    <mergeCell ref="G38:N38"/>
    <mergeCell ref="F9:K9"/>
    <mergeCell ref="G37:N37"/>
    <mergeCell ref="L21:N21"/>
    <mergeCell ref="A12:E12"/>
    <mergeCell ref="A3:N3"/>
    <mergeCell ref="L11:N11"/>
    <mergeCell ref="G34:N34"/>
    <mergeCell ref="F14:K14"/>
    <mergeCell ref="A2:N2"/>
    <mergeCell ref="L27:N27"/>
    <mergeCell ref="G33:N33"/>
    <mergeCell ref="A8:E8"/>
    <mergeCell ref="A5:N5"/>
    <mergeCell ref="A14:E14"/>
    <mergeCell ref="A32:N32"/>
    <mergeCell ref="L7:N7"/>
    <mergeCell ref="F11:K11"/>
    <mergeCell ref="A17:N17"/>
    <mergeCell ref="G35:N35"/>
    <mergeCell ref="F10:K10"/>
    <mergeCell ref="A10:E10"/>
    <mergeCell ref="L28:N28"/>
    <mergeCell ref="L13:N13"/>
    <mergeCell ref="L19:N19"/>
    <mergeCell ref="F7:K7"/>
    <mergeCell ref="A13:E13"/>
    <mergeCell ref="L12:N12"/>
    <mergeCell ref="F12:K12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44" customHeight="1">
      <c r="A1" s="1" t="inlineStr">
        <is>
          <t>⚠️ RISK REGISTER &amp; MITIGASI — NAWA CAHAYA</t>
        </is>
      </c>
    </row>
    <row r="2" ht="18" customHeight="1">
      <c r="A2" s="2" t="inlineStr">
        <is>
          <t>Likelihood (1–5) × Impact (1–5) = Risk Score · Merah = High Risk · Harus ada Plan B untuk semua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0" customHeight="1">
      <c r="A5" s="84" t="inlineStr">
        <is>
          <t xml:space="preserve">  LIKELIHOOD</t>
        </is>
      </c>
      <c r="B5" s="14" t="n"/>
      <c r="C5" s="14" t="n"/>
      <c r="D5" s="85" t="inlineStr">
        <is>
          <t xml:space="preserve">  IMPACT</t>
        </is>
      </c>
      <c r="E5" s="14" t="n"/>
      <c r="F5" s="14" t="n"/>
      <c r="G5" s="85" t="inlineStr">
        <is>
          <t xml:space="preserve">  SCORE = L × I</t>
        </is>
      </c>
      <c r="H5" s="14" t="n"/>
      <c r="I5" s="14" t="n"/>
      <c r="J5" s="86" t="inlineStr">
        <is>
          <t xml:space="preserve">  1–4: LOW</t>
        </is>
      </c>
      <c r="K5" s="14" t="n"/>
      <c r="L5" s="87" t="inlineStr">
        <is>
          <t xml:space="preserve">  5–9: MED</t>
        </is>
      </c>
      <c r="M5" s="88" t="inlineStr">
        <is>
          <t xml:space="preserve">  10–25: HIGH</t>
        </is>
      </c>
      <c r="N5" s="18" t="n"/>
    </row>
    <row r="7" ht="30" customHeight="1">
      <c r="A7" s="89" t="inlineStr">
        <is>
          <t>No</t>
        </is>
      </c>
      <c r="B7" s="90" t="inlineStr">
        <is>
          <t>Risiko</t>
        </is>
      </c>
      <c r="C7" s="90" t="inlineStr">
        <is>
          <t>Kategori</t>
        </is>
      </c>
      <c r="D7" s="90" t="inlineStr">
        <is>
          <t>Likelihood
(1–5)</t>
        </is>
      </c>
      <c r="E7" s="90" t="inlineStr">
        <is>
          <t>Impact
(1–5)</t>
        </is>
      </c>
      <c r="F7" s="90" t="inlineStr">
        <is>
          <t>Score</t>
        </is>
      </c>
      <c r="G7" s="90" t="inlineStr">
        <is>
          <t>Level</t>
        </is>
      </c>
      <c r="H7" s="90" t="inlineStr">
        <is>
          <t>Pemilik
Risiko</t>
        </is>
      </c>
      <c r="I7" s="90" t="inlineStr">
        <is>
          <t>Plan Mitigasi</t>
        </is>
      </c>
      <c r="J7" s="90" t="inlineStr">
        <is>
          <t>Plan B / Contingency</t>
        </is>
      </c>
      <c r="K7" s="90" t="inlineStr">
        <is>
          <t>Status</t>
        </is>
      </c>
      <c r="L7" s="90" t="inlineStr">
        <is>
          <t>Review</t>
        </is>
      </c>
      <c r="M7" s="77" t="n"/>
      <c r="N7" s="78" t="n"/>
    </row>
    <row r="8" ht="28" customHeight="1">
      <c r="A8" s="91" t="n">
        <v>1</v>
      </c>
      <c r="B8" s="92" t="inlineStr">
        <is>
          <t>Panen gagal / hama menyerang</t>
        </is>
      </c>
      <c r="C8" s="79" t="inlineStr">
        <is>
          <t>Operasional</t>
        </is>
      </c>
      <c r="D8" s="93" t="n">
        <v>3</v>
      </c>
      <c r="E8" s="93" t="n">
        <v>4</v>
      </c>
      <c r="F8" s="94">
        <f>D8*E8</f>
        <v/>
      </c>
      <c r="G8" s="95">
        <f>IF(F8&gt;=10,"🔴 HIGH",IF(F8&gt;=5,"🟡 MEDIUM","🟢 LOW"))</f>
        <v/>
      </c>
      <c r="H8" s="31" t="inlineStr">
        <is>
          <t>← PIC</t>
        </is>
      </c>
      <c r="I8" s="96" t="inlineStr">
        <is>
          <t>SOP pertanian organik ketat + pestisida nabati + monitoring logbook mingguan</t>
        </is>
      </c>
      <c r="J8" s="97" t="inlineStr">
        <is>
          <t>Beli dari petani mitra untuk tetap penuhi kontrak buyer</t>
        </is>
      </c>
      <c r="K8" s="31" t="inlineStr">
        <is>
          <t>← Open/Closed</t>
        </is>
      </c>
      <c r="L8" s="80" t="inlineStr">
        <is>
          <t>← Isi tanggal review</t>
        </is>
      </c>
      <c r="M8" s="14" t="n"/>
      <c r="N8" s="18" t="n"/>
    </row>
    <row r="9" ht="28" customHeight="1">
      <c r="A9" s="91" t="n">
        <v>2</v>
      </c>
      <c r="B9" s="92" t="inlineStr">
        <is>
          <t>Donasi tidak mencapai target</t>
        </is>
      </c>
      <c r="C9" s="79" t="inlineStr">
        <is>
          <t>Keuangan</t>
        </is>
      </c>
      <c r="D9" s="93" t="n">
        <v>3</v>
      </c>
      <c r="E9" s="93" t="n">
        <v>5</v>
      </c>
      <c r="F9" s="94">
        <f>D9*E9</f>
        <v/>
      </c>
      <c r="G9" s="95">
        <f>IF(F9&gt;=10,"🔴 HIGH",IF(F9&gt;=5,"🟡 MEDIUM","🟢 LOW"))</f>
        <v/>
      </c>
      <c r="H9" s="31" t="inlineStr">
        <is>
          <t>← PIC</t>
        </is>
      </c>
      <c r="I9" s="96" t="inlineStr">
        <is>
          <t>Diversifikasi 5+ jalur fundraising + CSR + grant internasional</t>
        </is>
      </c>
      <c r="J9" s="97" t="inlineStr">
        <is>
          <t>Kurangi skala ke 1 tim, fokus kualitas bukan kuantitas</t>
        </is>
      </c>
      <c r="K9" s="31" t="inlineStr">
        <is>
          <t>← Open/Closed</t>
        </is>
      </c>
      <c r="L9" s="80" t="inlineStr">
        <is>
          <t>← Isi tanggal review</t>
        </is>
      </c>
      <c r="M9" s="14" t="n"/>
      <c r="N9" s="18" t="n"/>
    </row>
    <row r="10" ht="28" customHeight="1">
      <c r="A10" s="11" t="n">
        <v>3</v>
      </c>
      <c r="B10" s="98" t="inlineStr">
        <is>
          <t>Harga pasar komoditi turun drastis</t>
        </is>
      </c>
      <c r="C10" s="79" t="inlineStr">
        <is>
          <t>Market</t>
        </is>
      </c>
      <c r="D10" s="93" t="n">
        <v>2</v>
      </c>
      <c r="E10" s="93" t="n">
        <v>4</v>
      </c>
      <c r="F10" s="99">
        <f>D10*E10</f>
        <v/>
      </c>
      <c r="G10" s="100">
        <f>IF(F10&gt;=10,"🔴 HIGH",IF(F10&gt;=5,"🟡 MEDIUM","🟢 LOW"))</f>
        <v/>
      </c>
      <c r="H10" s="31" t="inlineStr">
        <is>
          <t>← PIC</t>
        </is>
      </c>
      <c r="I10" s="96" t="inlineStr">
        <is>
          <t>Mix 30% lokal + 70% ekspor · kontrak harga tetap dengan buyer</t>
        </is>
      </c>
      <c r="J10" s="97" t="inlineStr">
        <is>
          <t>Alihkan ke komoditi lain yang harganya stabil</t>
        </is>
      </c>
      <c r="K10" s="31" t="inlineStr">
        <is>
          <t>← Open/Closed</t>
        </is>
      </c>
      <c r="L10" s="80" t="inlineStr">
        <is>
          <t>← Isi tanggal review</t>
        </is>
      </c>
      <c r="M10" s="14" t="n"/>
      <c r="N10" s="18" t="n"/>
    </row>
    <row r="11" ht="28" customHeight="1">
      <c r="A11" s="11" t="n">
        <v>4</v>
      </c>
      <c r="B11" s="98" t="inlineStr">
        <is>
          <t>Buyer batalkan kontrak mendadak</t>
        </is>
      </c>
      <c r="C11" s="79" t="inlineStr">
        <is>
          <t>Market</t>
        </is>
      </c>
      <c r="D11" s="93" t="n">
        <v>2</v>
      </c>
      <c r="E11" s="93" t="n">
        <v>4</v>
      </c>
      <c r="F11" s="99">
        <f>D11*E11</f>
        <v/>
      </c>
      <c r="G11" s="100">
        <f>IF(F11&gt;=10,"🔴 HIGH",IF(F11&gt;=5,"🟡 MEDIUM","🟢 LOW"))</f>
        <v/>
      </c>
      <c r="H11" s="31" t="inlineStr">
        <is>
          <t>← PIC</t>
        </is>
      </c>
      <c r="I11" s="96" t="inlineStr">
        <is>
          <t>Minimal 3 buyer per komoditi · jangan bergantung 1 buyer</t>
        </is>
      </c>
      <c r="J11" s="97" t="inlineStr">
        <is>
          <t>Stock frozen + cari buyer baru + jual ke pasar umum</t>
        </is>
      </c>
      <c r="K11" s="31" t="inlineStr">
        <is>
          <t>← Open/Closed</t>
        </is>
      </c>
      <c r="L11" s="80" t="inlineStr">
        <is>
          <t>← Isi tanggal review</t>
        </is>
      </c>
      <c r="M11" s="14" t="n"/>
      <c r="N11" s="18" t="n"/>
    </row>
    <row r="12" ht="28" customHeight="1">
      <c r="A12" s="11" t="n">
        <v>5</v>
      </c>
      <c r="B12" s="98" t="inlineStr">
        <is>
          <t>Anak binaan kabur / bermasalah</t>
        </is>
      </c>
      <c r="C12" s="79" t="inlineStr">
        <is>
          <t>Program</t>
        </is>
      </c>
      <c r="D12" s="93" t="n">
        <v>3</v>
      </c>
      <c r="E12" s="93" t="n">
        <v>3</v>
      </c>
      <c r="F12" s="99">
        <f>D12*E12</f>
        <v/>
      </c>
      <c r="G12" s="100">
        <f>IF(F12&gt;=10,"🔴 HIGH",IF(F12&gt;=5,"🟡 MEDIUM","🟢 LOW"))</f>
        <v/>
      </c>
      <c r="H12" s="31" t="inlineStr">
        <is>
          <t>← PIC</t>
        </is>
      </c>
      <c r="I12" s="96" t="inlineStr">
        <is>
          <t>Proses seleksi ketat + psikolog on-site + kunjungan keluarga rutin</t>
        </is>
      </c>
      <c r="J12" s="97" t="inlineStr">
        <is>
          <t>Mediasi + sistem reward-consequence yang adil</t>
        </is>
      </c>
      <c r="K12" s="31" t="inlineStr">
        <is>
          <t>← Open/Closed</t>
        </is>
      </c>
      <c r="L12" s="80" t="inlineStr">
        <is>
          <t>← Isi tanggal review</t>
        </is>
      </c>
      <c r="M12" s="14" t="n"/>
      <c r="N12" s="18" t="n"/>
    </row>
    <row r="13" ht="28" customHeight="1">
      <c r="A13" s="11" t="n">
        <v>6</v>
      </c>
      <c r="B13" s="98" t="inlineStr">
        <is>
          <t>Relawan/mentor berhenti tiba-tiba</t>
        </is>
      </c>
      <c r="C13" s="79" t="inlineStr">
        <is>
          <t>SDM</t>
        </is>
      </c>
      <c r="D13" s="93" t="n">
        <v>3</v>
      </c>
      <c r="E13" s="93" t="n">
        <v>3</v>
      </c>
      <c r="F13" s="99">
        <f>D13*E13</f>
        <v/>
      </c>
      <c r="G13" s="100">
        <f>IF(F13&gt;=10,"🔴 HIGH",IF(F13&gt;=5,"🟡 MEDIUM","🟢 LOW"))</f>
        <v/>
      </c>
      <c r="H13" s="31" t="inlineStr">
        <is>
          <t>← PIC</t>
        </is>
      </c>
      <c r="I13" s="96" t="inlineStr">
        <is>
          <t>Kontrak MOU + backup 2 orang per bidang + transfer knowledge terdokumentasi</t>
        </is>
      </c>
      <c r="J13" s="97" t="inlineStr">
        <is>
          <t>Cari pengganti via network + kampanye rekrutmen darurat</t>
        </is>
      </c>
      <c r="K13" s="31" t="inlineStr">
        <is>
          <t>← Open/Closed</t>
        </is>
      </c>
      <c r="L13" s="80" t="inlineStr">
        <is>
          <t>← Isi tanggal review</t>
        </is>
      </c>
      <c r="M13" s="14" t="n"/>
      <c r="N13" s="18" t="n"/>
    </row>
    <row r="14" ht="28" customHeight="1">
      <c r="A14" s="91" t="n">
        <v>7</v>
      </c>
      <c r="B14" s="92" t="inlineStr">
        <is>
          <t>Masalah legalitas (izin, pajak)</t>
        </is>
      </c>
      <c r="C14" s="79" t="inlineStr">
        <is>
          <t>Legal</t>
        </is>
      </c>
      <c r="D14" s="93" t="n">
        <v>2</v>
      </c>
      <c r="E14" s="93" t="n">
        <v>5</v>
      </c>
      <c r="F14" s="94">
        <f>D14*E14</f>
        <v/>
      </c>
      <c r="G14" s="95">
        <f>IF(F14&gt;=10,"🔴 HIGH",IF(F14&gt;=5,"🟡 MEDIUM","🟢 LOW"))</f>
        <v/>
      </c>
      <c r="H14" s="31" t="inlineStr">
        <is>
          <t>← PIC</t>
        </is>
      </c>
      <c r="I14" s="96" t="inlineStr">
        <is>
          <t>Selesaikan legal 100% sebelum operasi + konsultan hukum on-call</t>
        </is>
      </c>
      <c r="J14" s="97" t="inlineStr">
        <is>
          <t>Operasi terbatas sementara izin diselesaikan</t>
        </is>
      </c>
      <c r="K14" s="31" t="inlineStr">
        <is>
          <t>← Open/Closed</t>
        </is>
      </c>
      <c r="L14" s="80" t="inlineStr">
        <is>
          <t>← Isi tanggal review</t>
        </is>
      </c>
      <c r="M14" s="14" t="n"/>
      <c r="N14" s="18" t="n"/>
    </row>
    <row r="15" ht="28" customHeight="1">
      <c r="A15" s="91" t="n">
        <v>8</v>
      </c>
      <c r="B15" s="92" t="inlineStr">
        <is>
          <t>Bencana alam (banjir, longsor, kemarau)</t>
        </is>
      </c>
      <c r="C15" s="79" t="inlineStr">
        <is>
          <t>Force Majeure</t>
        </is>
      </c>
      <c r="D15" s="93" t="n">
        <v>2</v>
      </c>
      <c r="E15" s="93" t="n">
        <v>5</v>
      </c>
      <c r="F15" s="94">
        <f>D15*E15</f>
        <v/>
      </c>
      <c r="G15" s="95">
        <f>IF(F15&gt;=10,"🔴 HIGH",IF(F15&gt;=5,"🟡 MEDIUM","🟢 LOW"))</f>
        <v/>
      </c>
      <c r="H15" s="31" t="inlineStr">
        <is>
          <t>← PIC</t>
        </is>
      </c>
      <c r="I15" s="96" t="inlineStr">
        <is>
          <t>Asuransi tanaman + drainase + sistem irigasi cadangan + peta risiko lahan</t>
        </is>
      </c>
      <c r="J15" s="97" t="inlineStr">
        <is>
          <t>Klaim asuransi + bantuan darurat dari network donatur</t>
        </is>
      </c>
      <c r="K15" s="31" t="inlineStr">
        <is>
          <t>← Open/Closed</t>
        </is>
      </c>
      <c r="L15" s="80" t="inlineStr">
        <is>
          <t>← Isi tanggal review</t>
        </is>
      </c>
      <c r="M15" s="14" t="n"/>
      <c r="N15" s="18" t="n"/>
    </row>
    <row r="16" ht="28" customHeight="1">
      <c r="A16" s="11" t="n">
        <v>9</v>
      </c>
      <c r="B16" s="98" t="inlineStr">
        <is>
          <t>Reputasi negatif di media sosial</t>
        </is>
      </c>
      <c r="C16" s="79" t="inlineStr">
        <is>
          <t>Reputasi</t>
        </is>
      </c>
      <c r="D16" s="93" t="n">
        <v>2</v>
      </c>
      <c r="E16" s="93" t="n">
        <v>4</v>
      </c>
      <c r="F16" s="99">
        <f>D16*E16</f>
        <v/>
      </c>
      <c r="G16" s="100">
        <f>IF(F16&gt;=10,"🔴 HIGH",IF(F16&gt;=5,"🟡 MEDIUM","🟢 LOW"))</f>
        <v/>
      </c>
      <c r="H16" s="31" t="inlineStr">
        <is>
          <t>← PIC</t>
        </is>
      </c>
      <c r="I16" s="96" t="inlineStr">
        <is>
          <t>Transparansi radikal 24/7 + respons cepat maks 2 jam + protokol crisis PR</t>
        </is>
      </c>
      <c r="J16" s="97" t="inlineStr">
        <is>
          <t>Press release + klarifikasi video dari founder + audit independen</t>
        </is>
      </c>
      <c r="K16" s="31" t="inlineStr">
        <is>
          <t>← Open/Closed</t>
        </is>
      </c>
      <c r="L16" s="80" t="inlineStr">
        <is>
          <t>← Isi tanggal review</t>
        </is>
      </c>
      <c r="M16" s="14" t="n"/>
      <c r="N16" s="18" t="n"/>
    </row>
    <row r="17" ht="28" customHeight="1">
      <c r="A17" s="11" t="n">
        <v>10</v>
      </c>
      <c r="B17" s="98" t="inlineStr">
        <is>
          <t>Founder sakit / tidak bisa operasi</t>
        </is>
      </c>
      <c r="C17" s="79" t="inlineStr">
        <is>
          <t>Kepemimpinan</t>
        </is>
      </c>
      <c r="D17" s="93" t="n">
        <v>1</v>
      </c>
      <c r="E17" s="93" t="n">
        <v>5</v>
      </c>
      <c r="F17" s="99">
        <f>D17*E17</f>
        <v/>
      </c>
      <c r="G17" s="100">
        <f>IF(F17&gt;=10,"🔴 HIGH",IF(F17&gt;=5,"🟡 MEDIUM","🟢 LOW"))</f>
        <v/>
      </c>
      <c r="H17" s="31" t="inlineStr">
        <is>
          <t>← PIC</t>
        </is>
      </c>
      <c r="I17" s="96" t="inlineStr">
        <is>
          <t>Dokumentasi semua SOP + delegasi ke manajer operasional</t>
        </is>
      </c>
      <c r="J17" s="97" t="inlineStr">
        <is>
          <t>Board advisory aktif + succession plan sejak awal</t>
        </is>
      </c>
      <c r="K17" s="31" t="inlineStr">
        <is>
          <t>← Open/Closed</t>
        </is>
      </c>
      <c r="L17" s="80" t="inlineStr">
        <is>
          <t>← Isi tanggal review</t>
        </is>
      </c>
      <c r="M17" s="14" t="n"/>
      <c r="N17" s="18" t="n"/>
    </row>
    <row r="18" ht="28" customHeight="1">
      <c r="A18" s="101" t="n">
        <v>11</v>
      </c>
      <c r="B18" s="102" t="inlineStr">
        <is>
          <t>Teknologi/sistem digital down</t>
        </is>
      </c>
      <c r="C18" s="79" t="inlineStr">
        <is>
          <t>Digital</t>
        </is>
      </c>
      <c r="D18" s="93" t="n">
        <v>2</v>
      </c>
      <c r="E18" s="93" t="n">
        <v>2</v>
      </c>
      <c r="F18" s="103">
        <f>D18*E18</f>
        <v/>
      </c>
      <c r="G18" s="104">
        <f>IF(F18&gt;=10,"🔴 HIGH",IF(F18&gt;=5,"🟡 MEDIUM","🟢 LOW"))</f>
        <v/>
      </c>
      <c r="H18" s="31" t="inlineStr">
        <is>
          <t>← PIC</t>
        </is>
      </c>
      <c r="I18" s="96" t="inlineStr">
        <is>
          <t>Backup Google Sheets + backup manual + IT support on-call</t>
        </is>
      </c>
      <c r="J18" s="97" t="inlineStr">
        <is>
          <t>Pencatatan manual sementara sistem diperbaiki</t>
        </is>
      </c>
      <c r="K18" s="31" t="inlineStr">
        <is>
          <t>← Open/Closed</t>
        </is>
      </c>
      <c r="L18" s="80" t="inlineStr">
        <is>
          <t>← Isi tanggal review</t>
        </is>
      </c>
      <c r="M18" s="14" t="n"/>
      <c r="N18" s="18" t="n"/>
    </row>
    <row r="19" ht="28" customHeight="1">
      <c r="A19" s="11" t="n">
        <v>12</v>
      </c>
      <c r="B19" s="98" t="inlineStr">
        <is>
          <t>Kompetitor salin model bisnis</t>
        </is>
      </c>
      <c r="C19" s="79" t="inlineStr">
        <is>
          <t>Kompetisi</t>
        </is>
      </c>
      <c r="D19" s="93" t="n">
        <v>3</v>
      </c>
      <c r="E19" s="93" t="n">
        <v>2</v>
      </c>
      <c r="F19" s="99">
        <f>D19*E19</f>
        <v/>
      </c>
      <c r="G19" s="100">
        <f>IF(F19&gt;=10,"🔴 HIGH",IF(F19&gt;=5,"🟡 MEDIUM","🟢 LOW"))</f>
        <v/>
      </c>
      <c r="H19" s="31" t="inlineStr">
        <is>
          <t>← PIC</t>
        </is>
      </c>
      <c r="I19" s="96" t="inlineStr">
        <is>
          <t>Bangun brand &amp; kepercayaan lebih dulu + sertifikasi organik + story yang autentik</t>
        </is>
      </c>
      <c r="J19" s="97" t="inlineStr">
        <is>
          <t>Fokus pada kualitas &amp; network yang sudah ada</t>
        </is>
      </c>
      <c r="K19" s="31" t="inlineStr">
        <is>
          <t>← Open/Closed</t>
        </is>
      </c>
      <c r="L19" s="80" t="inlineStr">
        <is>
          <t>← Isi tanggal review</t>
        </is>
      </c>
      <c r="M19" s="14" t="n"/>
      <c r="N19" s="18" t="n"/>
    </row>
    <row r="21" ht="22" customHeight="1">
      <c r="A21" s="29" t="inlineStr">
        <is>
          <t>📊 SKENARIO WORST CASE &amp; BEST CASE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8" t="n"/>
    </row>
    <row r="22" ht="22" customHeight="1">
      <c r="A22" s="105" t="inlineStr">
        <is>
          <t>Skenario</t>
        </is>
      </c>
      <c r="B22" s="106" t="inlineStr">
        <is>
          <t>Kondisi</t>
        </is>
      </c>
      <c r="C22" s="106" t="inlineStr">
        <is>
          <t>Donasi (% target)</t>
        </is>
      </c>
      <c r="D22" s="106" t="inlineStr">
        <is>
          <t>Revenue</t>
        </is>
      </c>
      <c r="E22" s="106" t="inlineStr">
        <is>
          <t>Net Cash</t>
        </is>
      </c>
      <c r="F22" s="106" t="inlineStr">
        <is>
          <t>Keputusan</t>
        </is>
      </c>
      <c r="G22" s="8" t="n"/>
      <c r="H22" s="8" t="n"/>
      <c r="I22" s="8" t="n"/>
      <c r="J22" s="8" t="n"/>
      <c r="K22" s="8" t="n"/>
      <c r="L22" s="8" t="n"/>
      <c r="M22" s="8" t="n"/>
      <c r="N22" s="10" t="n"/>
    </row>
    <row r="23" ht="26" customHeight="1">
      <c r="A23" s="107" t="inlineStr">
        <is>
          <t>🏆 Best Case</t>
        </is>
      </c>
      <c r="B23" s="108" t="inlineStr">
        <is>
          <t>Semua target tercapai, ekspor jalan</t>
        </is>
      </c>
      <c r="C23" s="86" t="inlineStr">
        <is>
          <t>100%+</t>
        </is>
      </c>
      <c r="D23" s="86" t="inlineStr">
        <is>
          <t>100%+</t>
        </is>
      </c>
      <c r="E23" s="86" t="inlineStr">
        <is>
          <t>Positif</t>
        </is>
      </c>
      <c r="F23" s="109" t="inlineStr">
        <is>
          <t>Scale up ke Tim 2 di bulan ke-9</t>
        </is>
      </c>
      <c r="G23" s="14" t="n"/>
      <c r="H23" s="14" t="n"/>
      <c r="I23" s="14" t="n"/>
      <c r="J23" s="14" t="n"/>
      <c r="K23" s="14" t="n"/>
      <c r="L23" s="14" t="n"/>
      <c r="M23" s="14" t="n"/>
      <c r="N23" s="18" t="n"/>
    </row>
    <row r="24" ht="26" customHeight="1">
      <c r="A24" s="110" t="inlineStr">
        <is>
          <t>✅ Base Case</t>
        </is>
      </c>
      <c r="B24" s="111" t="inlineStr">
        <is>
          <t>75% target donasi, panen normal</t>
        </is>
      </c>
      <c r="C24" s="87" t="inlineStr">
        <is>
          <t>75%</t>
        </is>
      </c>
      <c r="D24" s="87" t="inlineStr">
        <is>
          <t>85%</t>
        </is>
      </c>
      <c r="E24" s="87" t="inlineStr">
        <is>
          <t>Tipis positif</t>
        </is>
      </c>
      <c r="F24" s="112" t="inlineStr">
        <is>
          <t>Lanjut dengan 1 tim, hemat opex 20%</t>
        </is>
      </c>
      <c r="G24" s="14" t="n"/>
      <c r="H24" s="14" t="n"/>
      <c r="I24" s="14" t="n"/>
      <c r="J24" s="14" t="n"/>
      <c r="K24" s="14" t="n"/>
      <c r="L24" s="14" t="n"/>
      <c r="M24" s="14" t="n"/>
      <c r="N24" s="18" t="n"/>
    </row>
    <row r="25" ht="26" customHeight="1">
      <c r="A25" s="113" t="inlineStr">
        <is>
          <t>⚠️ Worst Case</t>
        </is>
      </c>
      <c r="B25" s="114" t="inlineStr">
        <is>
          <t>Donasi hanya 50%, gagal panen sekali</t>
        </is>
      </c>
      <c r="C25" s="88" t="inlineStr">
        <is>
          <t>50%</t>
        </is>
      </c>
      <c r="D25" s="88" t="inlineStr">
        <is>
          <t>40%</t>
        </is>
      </c>
      <c r="E25" s="88" t="inlineStr">
        <is>
          <t>Negatif</t>
        </is>
      </c>
      <c r="F25" s="115" t="inlineStr">
        <is>
          <t>Hentikan sementara, restruktur, cari donatur darurat</t>
        </is>
      </c>
      <c r="G25" s="14" t="n"/>
      <c r="H25" s="14" t="n"/>
      <c r="I25" s="14" t="n"/>
      <c r="J25" s="14" t="n"/>
      <c r="K25" s="14" t="n"/>
      <c r="L25" s="14" t="n"/>
      <c r="M25" s="14" t="n"/>
      <c r="N25" s="18" t="n"/>
    </row>
  </sheetData>
  <mergeCells count="26">
    <mergeCell ref="L15:N15"/>
    <mergeCell ref="J5:K5"/>
    <mergeCell ref="L18:N18"/>
    <mergeCell ref="L14:N14"/>
    <mergeCell ref="L8:N8"/>
    <mergeCell ref="M5:N5"/>
    <mergeCell ref="A1:N1"/>
    <mergeCell ref="L10:N10"/>
    <mergeCell ref="A5:C5"/>
    <mergeCell ref="G5:I5"/>
    <mergeCell ref="F23:N23"/>
    <mergeCell ref="F22:N22"/>
    <mergeCell ref="L9:N9"/>
    <mergeCell ref="A3:N3"/>
    <mergeCell ref="L11:N11"/>
    <mergeCell ref="D5:F5"/>
    <mergeCell ref="A21:N21"/>
    <mergeCell ref="A2:N2"/>
    <mergeCell ref="L17:N17"/>
    <mergeCell ref="L7:N7"/>
    <mergeCell ref="L16:N16"/>
    <mergeCell ref="F25:N25"/>
    <mergeCell ref="L13:N13"/>
    <mergeCell ref="L19:N19"/>
    <mergeCell ref="L12:N12"/>
    <mergeCell ref="F24:N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44" customHeight="1">
      <c r="A1" s="1" t="inlineStr">
        <is>
          <t>📅 GANTT CHART &amp; KPI MINGGUAN — NAWA CAHAYA</t>
        </is>
      </c>
    </row>
    <row r="2" ht="18" customHeight="1">
      <c r="A2" s="2" t="inlineStr">
        <is>
          <t>Isi PIC dan tanggal mulai/selesai setiap task · Kolom Minggu = isi % progress (0–100)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2" customHeight="1">
      <c r="A5" s="29" t="inlineStr">
        <is>
          <t>A. GANTT CHART — MILESTONE UTAMA 12 BULAN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8" t="n"/>
    </row>
    <row r="6" ht="28" customHeight="1">
      <c r="A6" s="116" t="inlineStr">
        <is>
          <t>No</t>
        </is>
      </c>
      <c r="B6" s="117" t="inlineStr">
        <is>
          <t>Task / Milestone</t>
        </is>
      </c>
      <c r="C6" s="117" t="inlineStr">
        <is>
          <t>PIC</t>
        </is>
      </c>
      <c r="D6" s="117" t="inlineStr">
        <is>
          <t>Status</t>
        </is>
      </c>
      <c r="E6" s="117" t="inlineStr">
        <is>
          <t>Bln 1</t>
        </is>
      </c>
      <c r="F6" s="117" t="inlineStr">
        <is>
          <t>Bln 2</t>
        </is>
      </c>
      <c r="G6" s="117" t="inlineStr">
        <is>
          <t>Bln 3</t>
        </is>
      </c>
      <c r="H6" s="117" t="inlineStr">
        <is>
          <t>Bln 4</t>
        </is>
      </c>
      <c r="I6" s="117" t="inlineStr">
        <is>
          <t>Bln 5</t>
        </is>
      </c>
      <c r="J6" s="117" t="inlineStr">
        <is>
          <t>Bln 6</t>
        </is>
      </c>
      <c r="K6" s="117" t="inlineStr">
        <is>
          <t>Bln 7–9</t>
        </is>
      </c>
      <c r="L6" s="117" t="inlineStr">
        <is>
          <t>Bln 10–12</t>
        </is>
      </c>
      <c r="M6" s="117" t="inlineStr">
        <is>
          <t>Catatan</t>
        </is>
      </c>
      <c r="N6" s="10" t="n"/>
    </row>
    <row r="7" ht="22" customHeight="1">
      <c r="A7" s="118" t="n">
        <v>1</v>
      </c>
      <c r="B7" s="119" t="inlineStr">
        <is>
          <t>🏛️ LEGALITAS: Notaris + Akta Yayasan</t>
        </is>
      </c>
      <c r="C7" s="31" t="inlineStr">
        <is>
          <t>← PIC</t>
        </is>
      </c>
      <c r="D7" s="31" t="inlineStr">
        <is>
          <t>← Status</t>
        </is>
      </c>
      <c r="E7" s="120" t="inlineStr">
        <is>
          <t>████</t>
        </is>
      </c>
      <c r="F7" s="121" t="inlineStr"/>
      <c r="G7" s="121" t="inlineStr"/>
      <c r="H7" s="121" t="inlineStr"/>
      <c r="I7" s="121" t="inlineStr"/>
      <c r="J7" s="121" t="inlineStr"/>
      <c r="K7" s="121" t="inlineStr"/>
      <c r="L7" s="121" t="inlineStr"/>
      <c r="M7" s="122" t="inlineStr"/>
      <c r="N7" s="18" t="n"/>
    </row>
    <row r="8" ht="22" customHeight="1">
      <c r="A8" s="118" t="n">
        <v>2</v>
      </c>
      <c r="B8" s="119" t="inlineStr">
        <is>
          <t>🏛️ LEGALITAS: NPWP + Rekening Bank</t>
        </is>
      </c>
      <c r="C8" s="31" t="inlineStr">
        <is>
          <t>← PIC</t>
        </is>
      </c>
      <c r="D8" s="31" t="inlineStr">
        <is>
          <t>← Status</t>
        </is>
      </c>
      <c r="E8" s="120" t="inlineStr">
        <is>
          <t>████</t>
        </is>
      </c>
      <c r="F8" s="120" t="inlineStr">
        <is>
          <t>████</t>
        </is>
      </c>
      <c r="G8" s="121" t="inlineStr"/>
      <c r="H8" s="121" t="inlineStr"/>
      <c r="I8" s="121" t="inlineStr"/>
      <c r="J8" s="121" t="inlineStr"/>
      <c r="K8" s="121" t="inlineStr"/>
      <c r="L8" s="121" t="inlineStr"/>
      <c r="M8" s="122" t="inlineStr"/>
      <c r="N8" s="18" t="n"/>
    </row>
    <row r="9" ht="22" customHeight="1">
      <c r="A9" s="118" t="n">
        <v>3</v>
      </c>
      <c r="B9" s="119" t="inlineStr">
        <is>
          <t>🏛️ LEGALITAS: SKT Kemendagri + izin LKS</t>
        </is>
      </c>
      <c r="C9" s="31" t="inlineStr">
        <is>
          <t>← PIC</t>
        </is>
      </c>
      <c r="D9" s="31" t="inlineStr">
        <is>
          <t>← Status</t>
        </is>
      </c>
      <c r="E9" s="121" t="inlineStr"/>
      <c r="F9" s="120" t="inlineStr">
        <is>
          <t>████</t>
        </is>
      </c>
      <c r="G9" s="120" t="inlineStr">
        <is>
          <t>████</t>
        </is>
      </c>
      <c r="H9" s="121" t="inlineStr"/>
      <c r="I9" s="121" t="inlineStr"/>
      <c r="J9" s="121" t="inlineStr"/>
      <c r="K9" s="121" t="inlineStr"/>
      <c r="L9" s="121" t="inlineStr"/>
      <c r="M9" s="122" t="inlineStr"/>
      <c r="N9" s="18" t="n"/>
    </row>
    <row r="10" ht="22" customHeight="1">
      <c r="A10" s="123" t="n">
        <v>4</v>
      </c>
      <c r="B10" s="124" t="inlineStr">
        <is>
          <t>🏗️ INFRASTRUKTUR: Survey &amp; beli/sewa lahan</t>
        </is>
      </c>
      <c r="C10" s="31" t="inlineStr">
        <is>
          <t>← PIC</t>
        </is>
      </c>
      <c r="D10" s="31" t="inlineStr">
        <is>
          <t>← Status</t>
        </is>
      </c>
      <c r="E10" s="125" t="inlineStr">
        <is>
          <t>████</t>
        </is>
      </c>
      <c r="F10" s="121" t="inlineStr"/>
      <c r="G10" s="121" t="inlineStr"/>
      <c r="H10" s="121" t="inlineStr"/>
      <c r="I10" s="121" t="inlineStr"/>
      <c r="J10" s="121" t="inlineStr"/>
      <c r="K10" s="121" t="inlineStr"/>
      <c r="L10" s="121" t="inlineStr"/>
      <c r="M10" s="122" t="inlineStr"/>
      <c r="N10" s="18" t="n"/>
    </row>
    <row r="11" ht="22" customHeight="1">
      <c r="A11" s="123" t="n">
        <v>5</v>
      </c>
      <c r="B11" s="124" t="inlineStr">
        <is>
          <t>🏗️ INFRASTRUKTUR: Bangun hunian semi-permanen</t>
        </is>
      </c>
      <c r="C11" s="31" t="inlineStr">
        <is>
          <t>← PIC</t>
        </is>
      </c>
      <c r="D11" s="31" t="inlineStr">
        <is>
          <t>← Status</t>
        </is>
      </c>
      <c r="E11" s="125" t="inlineStr">
        <is>
          <t>████</t>
        </is>
      </c>
      <c r="F11" s="125" t="inlineStr">
        <is>
          <t>████</t>
        </is>
      </c>
      <c r="G11" s="125" t="inlineStr">
        <is>
          <t>████</t>
        </is>
      </c>
      <c r="H11" s="121" t="inlineStr"/>
      <c r="I11" s="121" t="inlineStr"/>
      <c r="J11" s="121" t="inlineStr"/>
      <c r="K11" s="121" t="inlineStr"/>
      <c r="L11" s="121" t="inlineStr"/>
      <c r="M11" s="122" t="inlineStr"/>
      <c r="N11" s="18" t="n"/>
    </row>
    <row r="12" ht="22" customHeight="1">
      <c r="A12" s="123" t="n">
        <v>6</v>
      </c>
      <c r="B12" s="124" t="inlineStr">
        <is>
          <t>🏗️ INFRASTRUKTUR: Instalasi listrik + air</t>
        </is>
      </c>
      <c r="C12" s="31" t="inlineStr">
        <is>
          <t>← PIC</t>
        </is>
      </c>
      <c r="D12" s="31" t="inlineStr">
        <is>
          <t>← Status</t>
        </is>
      </c>
      <c r="E12" s="121" t="inlineStr"/>
      <c r="F12" s="125" t="inlineStr">
        <is>
          <t>████</t>
        </is>
      </c>
      <c r="G12" s="125" t="inlineStr">
        <is>
          <t>████</t>
        </is>
      </c>
      <c r="H12" s="121" t="inlineStr"/>
      <c r="I12" s="121" t="inlineStr"/>
      <c r="J12" s="121" t="inlineStr"/>
      <c r="K12" s="121" t="inlineStr"/>
      <c r="L12" s="121" t="inlineStr"/>
      <c r="M12" s="122" t="inlineStr"/>
      <c r="N12" s="18" t="n"/>
    </row>
    <row r="13" ht="22" customHeight="1">
      <c r="A13" s="101" t="n">
        <v>7</v>
      </c>
      <c r="B13" s="12" t="inlineStr">
        <is>
          <t>🌿 KEBUN: Persiapan lahan + olah tanah</t>
        </is>
      </c>
      <c r="C13" s="31" t="inlineStr">
        <is>
          <t>← PIC</t>
        </is>
      </c>
      <c r="D13" s="31" t="inlineStr">
        <is>
          <t>← Status</t>
        </is>
      </c>
      <c r="E13" s="121" t="inlineStr"/>
      <c r="F13" s="126" t="inlineStr">
        <is>
          <t>████</t>
        </is>
      </c>
      <c r="G13" s="126" t="inlineStr">
        <is>
          <t>████</t>
        </is>
      </c>
      <c r="H13" s="121" t="inlineStr"/>
      <c r="I13" s="121" t="inlineStr"/>
      <c r="J13" s="121" t="inlineStr"/>
      <c r="K13" s="121" t="inlineStr"/>
      <c r="L13" s="121" t="inlineStr"/>
      <c r="M13" s="122" t="inlineStr"/>
      <c r="N13" s="18" t="n"/>
    </row>
    <row r="14" ht="22" customHeight="1">
      <c r="A14" s="101" t="n">
        <v>8</v>
      </c>
      <c r="B14" s="12" t="inlineStr">
        <is>
          <t>🌿 KEBUN: Tanam bibit sereh + jahe + sayur</t>
        </is>
      </c>
      <c r="C14" s="31" t="inlineStr">
        <is>
          <t>← PIC</t>
        </is>
      </c>
      <c r="D14" s="31" t="inlineStr">
        <is>
          <t>← Status</t>
        </is>
      </c>
      <c r="E14" s="121" t="inlineStr"/>
      <c r="F14" s="121" t="inlineStr"/>
      <c r="G14" s="126" t="inlineStr">
        <is>
          <t>████</t>
        </is>
      </c>
      <c r="H14" s="126" t="inlineStr">
        <is>
          <t>████</t>
        </is>
      </c>
      <c r="I14" s="121" t="inlineStr"/>
      <c r="J14" s="121" t="inlineStr"/>
      <c r="K14" s="121" t="inlineStr"/>
      <c r="L14" s="121" t="inlineStr"/>
      <c r="M14" s="122" t="inlineStr"/>
      <c r="N14" s="18" t="n"/>
    </row>
    <row r="15" ht="22" customHeight="1">
      <c r="A15" s="101" t="n">
        <v>9</v>
      </c>
      <c r="B15" s="12" t="inlineStr">
        <is>
          <t>🌿 KEBUN: Perawatan rutin bulanan</t>
        </is>
      </c>
      <c r="C15" s="31" t="inlineStr">
        <is>
          <t>← PIC</t>
        </is>
      </c>
      <c r="D15" s="31" t="inlineStr">
        <is>
          <t>← Status</t>
        </is>
      </c>
      <c r="E15" s="121" t="inlineStr"/>
      <c r="F15" s="121" t="inlineStr"/>
      <c r="G15" s="121" t="inlineStr"/>
      <c r="H15" s="126" t="inlineStr">
        <is>
          <t>████</t>
        </is>
      </c>
      <c r="I15" s="126" t="inlineStr">
        <is>
          <t>████</t>
        </is>
      </c>
      <c r="J15" s="126" t="inlineStr">
        <is>
          <t>████</t>
        </is>
      </c>
      <c r="K15" s="126" t="inlineStr">
        <is>
          <t>████</t>
        </is>
      </c>
      <c r="L15" s="126" t="inlineStr">
        <is>
          <t>████</t>
        </is>
      </c>
      <c r="M15" s="122" t="inlineStr"/>
      <c r="N15" s="18" t="n"/>
    </row>
    <row r="16" ht="22" customHeight="1">
      <c r="A16" s="101" t="n">
        <v>10</v>
      </c>
      <c r="B16" s="12" t="inlineStr">
        <is>
          <t>🌿 KEBUN: Panen pertama (sereh/sayur)</t>
        </is>
      </c>
      <c r="C16" s="31" t="inlineStr">
        <is>
          <t>← PIC</t>
        </is>
      </c>
      <c r="D16" s="31" t="inlineStr">
        <is>
          <t>← Status</t>
        </is>
      </c>
      <c r="E16" s="121" t="inlineStr"/>
      <c r="F16" s="121" t="inlineStr"/>
      <c r="G16" s="121" t="inlineStr"/>
      <c r="H16" s="121" t="inlineStr"/>
      <c r="I16" s="121" t="inlineStr"/>
      <c r="J16" s="126" t="inlineStr">
        <is>
          <t>████</t>
        </is>
      </c>
      <c r="K16" s="121" t="inlineStr"/>
      <c r="L16" s="121" t="inlineStr"/>
      <c r="M16" s="122" t="inlineStr"/>
      <c r="N16" s="18" t="n"/>
    </row>
    <row r="17" ht="22" customHeight="1">
      <c r="A17" s="127" t="n">
        <v>11</v>
      </c>
      <c r="B17" s="128" t="inlineStr">
        <is>
          <t>🐐 TERNAK: Beli kambing + kandang</t>
        </is>
      </c>
      <c r="C17" s="31" t="inlineStr">
        <is>
          <t>← PIC</t>
        </is>
      </c>
      <c r="D17" s="31" t="inlineStr">
        <is>
          <t>← Status</t>
        </is>
      </c>
      <c r="E17" s="121" t="inlineStr"/>
      <c r="F17" s="129" t="inlineStr">
        <is>
          <t>████</t>
        </is>
      </c>
      <c r="G17" s="129" t="inlineStr">
        <is>
          <t>████</t>
        </is>
      </c>
      <c r="H17" s="121" t="inlineStr"/>
      <c r="I17" s="121" t="inlineStr"/>
      <c r="J17" s="121" t="inlineStr"/>
      <c r="K17" s="121" t="inlineStr"/>
      <c r="L17" s="121" t="inlineStr"/>
      <c r="M17" s="122" t="inlineStr"/>
      <c r="N17" s="18" t="n"/>
    </row>
    <row r="18" ht="22" customHeight="1">
      <c r="A18" s="127" t="n">
        <v>12</v>
      </c>
      <c r="B18" s="128" t="inlineStr">
        <is>
          <t>🐔 TERNAK: Ayam petelur mulai produksi</t>
        </is>
      </c>
      <c r="C18" s="31" t="inlineStr">
        <is>
          <t>← PIC</t>
        </is>
      </c>
      <c r="D18" s="31" t="inlineStr">
        <is>
          <t>← Status</t>
        </is>
      </c>
      <c r="E18" s="121" t="inlineStr"/>
      <c r="F18" s="121" t="inlineStr"/>
      <c r="G18" s="121" t="inlineStr"/>
      <c r="H18" s="129" t="inlineStr">
        <is>
          <t>████</t>
        </is>
      </c>
      <c r="I18" s="121" t="inlineStr"/>
      <c r="J18" s="121" t="inlineStr"/>
      <c r="K18" s="121" t="inlineStr"/>
      <c r="L18" s="121" t="inlineStr"/>
      <c r="M18" s="122" t="inlineStr"/>
      <c r="N18" s="18" t="n"/>
    </row>
    <row r="19" ht="22" customHeight="1">
      <c r="A19" s="130" t="n">
        <v>13</v>
      </c>
      <c r="B19" s="131" t="inlineStr">
        <is>
          <t>👦 PROGRAM: Rekrut anak binaan Tim 1</t>
        </is>
      </c>
      <c r="C19" s="31" t="inlineStr">
        <is>
          <t>← PIC</t>
        </is>
      </c>
      <c r="D19" s="31" t="inlineStr">
        <is>
          <t>← Status</t>
        </is>
      </c>
      <c r="E19" s="121" t="inlineStr"/>
      <c r="F19" s="121" t="inlineStr"/>
      <c r="G19" s="132" t="inlineStr">
        <is>
          <t>████</t>
        </is>
      </c>
      <c r="H19" s="121" t="inlineStr"/>
      <c r="I19" s="121" t="inlineStr"/>
      <c r="J19" s="121" t="inlineStr"/>
      <c r="K19" s="121" t="inlineStr"/>
      <c r="L19" s="121" t="inlineStr"/>
      <c r="M19" s="122" t="inlineStr"/>
      <c r="N19" s="18" t="n"/>
    </row>
    <row r="20" ht="22" customHeight="1">
      <c r="A20" s="130" t="n">
        <v>14</v>
      </c>
      <c r="B20" s="131" t="inlineStr">
        <is>
          <t>📚 PENDIDIKAN: Kelas Paket C mulai</t>
        </is>
      </c>
      <c r="C20" s="31" t="inlineStr">
        <is>
          <t>← PIC</t>
        </is>
      </c>
      <c r="D20" s="31" t="inlineStr">
        <is>
          <t>← Status</t>
        </is>
      </c>
      <c r="E20" s="121" t="inlineStr"/>
      <c r="F20" s="121" t="inlineStr"/>
      <c r="G20" s="121" t="inlineStr"/>
      <c r="H20" s="132" t="inlineStr">
        <is>
          <t>████</t>
        </is>
      </c>
      <c r="I20" s="132" t="inlineStr">
        <is>
          <t>████</t>
        </is>
      </c>
      <c r="J20" s="132" t="inlineStr">
        <is>
          <t>████</t>
        </is>
      </c>
      <c r="K20" s="132" t="inlineStr">
        <is>
          <t>████</t>
        </is>
      </c>
      <c r="L20" s="132" t="inlineStr">
        <is>
          <t>████</t>
        </is>
      </c>
      <c r="M20" s="122" t="inlineStr"/>
      <c r="N20" s="18" t="n"/>
    </row>
    <row r="21" ht="22" customHeight="1">
      <c r="A21" s="130" t="n">
        <v>15</v>
      </c>
      <c r="B21" s="131" t="inlineStr">
        <is>
          <t>🧠 PSIKOLOGI: Sesi konseling rutin</t>
        </is>
      </c>
      <c r="C21" s="31" t="inlineStr">
        <is>
          <t>← PIC</t>
        </is>
      </c>
      <c r="D21" s="31" t="inlineStr">
        <is>
          <t>← Status</t>
        </is>
      </c>
      <c r="E21" s="121" t="inlineStr"/>
      <c r="F21" s="121" t="inlineStr"/>
      <c r="G21" s="121" t="inlineStr"/>
      <c r="H21" s="132" t="inlineStr">
        <is>
          <t>████</t>
        </is>
      </c>
      <c r="I21" s="132" t="inlineStr">
        <is>
          <t>████</t>
        </is>
      </c>
      <c r="J21" s="132" t="inlineStr">
        <is>
          <t>████</t>
        </is>
      </c>
      <c r="K21" s="132" t="inlineStr">
        <is>
          <t>████</t>
        </is>
      </c>
      <c r="L21" s="132" t="inlineStr">
        <is>
          <t>████</t>
        </is>
      </c>
      <c r="M21" s="122" t="inlineStr"/>
      <c r="N21" s="18" t="n"/>
    </row>
    <row r="22" ht="22" customHeight="1">
      <c r="A22" s="123" t="n">
        <v>16</v>
      </c>
      <c r="B22" s="124" t="inlineStr">
        <is>
          <t>💰 FUNDRAISING: Pitch ke 10 investor awal</t>
        </is>
      </c>
      <c r="C22" s="31" t="inlineStr">
        <is>
          <t>← PIC</t>
        </is>
      </c>
      <c r="D22" s="31" t="inlineStr">
        <is>
          <t>← Status</t>
        </is>
      </c>
      <c r="E22" s="125" t="inlineStr">
        <is>
          <t>████</t>
        </is>
      </c>
      <c r="F22" s="125" t="inlineStr">
        <is>
          <t>████</t>
        </is>
      </c>
      <c r="G22" s="121" t="inlineStr"/>
      <c r="H22" s="121" t="inlineStr"/>
      <c r="I22" s="121" t="inlineStr"/>
      <c r="J22" s="121" t="inlineStr"/>
      <c r="K22" s="121" t="inlineStr"/>
      <c r="L22" s="121" t="inlineStr"/>
      <c r="M22" s="122" t="inlineStr"/>
      <c r="N22" s="18" t="n"/>
    </row>
    <row r="23" ht="22" customHeight="1">
      <c r="A23" s="123" t="n">
        <v>17</v>
      </c>
      <c r="B23" s="124" t="inlineStr">
        <is>
          <t>💰 FUNDRAISING: Kampanye media sosial</t>
        </is>
      </c>
      <c r="C23" s="31" t="inlineStr">
        <is>
          <t>← PIC</t>
        </is>
      </c>
      <c r="D23" s="31" t="inlineStr">
        <is>
          <t>← Status</t>
        </is>
      </c>
      <c r="E23" s="121" t="inlineStr"/>
      <c r="F23" s="125" t="inlineStr">
        <is>
          <t>████</t>
        </is>
      </c>
      <c r="G23" s="125" t="inlineStr">
        <is>
          <t>████</t>
        </is>
      </c>
      <c r="H23" s="125" t="inlineStr">
        <is>
          <t>████</t>
        </is>
      </c>
      <c r="I23" s="125" t="inlineStr">
        <is>
          <t>████</t>
        </is>
      </c>
      <c r="J23" s="125" t="inlineStr">
        <is>
          <t>████</t>
        </is>
      </c>
      <c r="K23" s="121" t="inlineStr"/>
      <c r="L23" s="121" t="inlineStr"/>
      <c r="M23" s="122" t="inlineStr"/>
      <c r="N23" s="18" t="n"/>
    </row>
    <row r="24" ht="22" customHeight="1">
      <c r="A24" s="133" t="n">
        <v>18</v>
      </c>
      <c r="B24" s="134" t="inlineStr">
        <is>
          <t>🌐 DIGITAL: Dashboard live + connect Sheets</t>
        </is>
      </c>
      <c r="C24" s="31" t="inlineStr">
        <is>
          <t>← PIC</t>
        </is>
      </c>
      <c r="D24" s="31" t="inlineStr">
        <is>
          <t>← Status</t>
        </is>
      </c>
      <c r="E24" s="135" t="inlineStr">
        <is>
          <t>████</t>
        </is>
      </c>
      <c r="F24" s="135" t="inlineStr">
        <is>
          <t>████</t>
        </is>
      </c>
      <c r="G24" s="121" t="inlineStr"/>
      <c r="H24" s="121" t="inlineStr"/>
      <c r="I24" s="121" t="inlineStr"/>
      <c r="J24" s="121" t="inlineStr"/>
      <c r="K24" s="121" t="inlineStr"/>
      <c r="L24" s="121" t="inlineStr"/>
      <c r="M24" s="122" t="inlineStr"/>
      <c r="N24" s="18" t="n"/>
    </row>
    <row r="25" ht="22" customHeight="1">
      <c r="A25" s="91" t="n">
        <v>19</v>
      </c>
      <c r="B25" s="136" t="inlineStr">
        <is>
          <t>🤝 BUYER: Kunjungi &amp; MOU 3 buyer resto/hotel</t>
        </is>
      </c>
      <c r="C25" s="31" t="inlineStr">
        <is>
          <t>← PIC</t>
        </is>
      </c>
      <c r="D25" s="31" t="inlineStr">
        <is>
          <t>← Status</t>
        </is>
      </c>
      <c r="E25" s="121" t="inlineStr"/>
      <c r="F25" s="137" t="inlineStr">
        <is>
          <t>████</t>
        </is>
      </c>
      <c r="G25" s="137" t="inlineStr">
        <is>
          <t>████</t>
        </is>
      </c>
      <c r="H25" s="137" t="inlineStr">
        <is>
          <t>████</t>
        </is>
      </c>
      <c r="I25" s="121" t="inlineStr"/>
      <c r="J25" s="121" t="inlineStr"/>
      <c r="K25" s="121" t="inlineStr"/>
      <c r="L25" s="121" t="inlineStr"/>
      <c r="M25" s="122" t="inlineStr"/>
      <c r="N25" s="18" t="n"/>
    </row>
    <row r="26" ht="22" customHeight="1">
      <c r="A26" s="118" t="n">
        <v>20</v>
      </c>
      <c r="B26" s="119" t="inlineStr">
        <is>
          <t>🌏 EKSPANSI: Apply grant internasional Fase 1</t>
        </is>
      </c>
      <c r="C26" s="31" t="inlineStr">
        <is>
          <t>← PIC</t>
        </is>
      </c>
      <c r="D26" s="31" t="inlineStr">
        <is>
          <t>← Status</t>
        </is>
      </c>
      <c r="E26" s="121" t="inlineStr"/>
      <c r="F26" s="121" t="inlineStr"/>
      <c r="G26" s="121" t="inlineStr"/>
      <c r="H26" s="121" t="inlineStr"/>
      <c r="I26" s="120" t="inlineStr">
        <is>
          <t>████</t>
        </is>
      </c>
      <c r="J26" s="120" t="inlineStr">
        <is>
          <t>████</t>
        </is>
      </c>
      <c r="K26" s="120" t="inlineStr">
        <is>
          <t>████</t>
        </is>
      </c>
      <c r="L26" s="120" t="inlineStr">
        <is>
          <t>████</t>
        </is>
      </c>
      <c r="M26" s="122" t="inlineStr"/>
      <c r="N26" s="18" t="n"/>
    </row>
    <row r="29" ht="22" customHeight="1">
      <c r="A29" s="29" t="inlineStr">
        <is>
          <t>B. KPI MINGGUAN FOUNDER — 10 ANGKA YANG DICEK TIAP SENIN PAGI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8" t="n"/>
    </row>
    <row r="30" ht="22" customHeight="1">
      <c r="A30" s="33" t="inlineStr">
        <is>
          <t xml:space="preserve">  Isi kolom TARGET dulu. Setiap Senin pagi update kolom AKTUAL. Kalau merah 2 minggu berturut = ESKALASI.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8" t="n"/>
    </row>
    <row r="31" ht="26" customHeight="1">
      <c r="A31" s="138" t="inlineStr">
        <is>
          <t>No</t>
        </is>
      </c>
      <c r="B31" s="139" t="inlineStr">
        <is>
          <t>KPI Metric</t>
        </is>
      </c>
      <c r="C31" s="139" t="inlineStr">
        <is>
          <t>Target/Minggu</t>
        </is>
      </c>
      <c r="D31" s="139" t="inlineStr">
        <is>
          <t>Minggu 1</t>
        </is>
      </c>
      <c r="E31" s="139" t="inlineStr">
        <is>
          <t>Minggu 2</t>
        </is>
      </c>
      <c r="F31" s="139" t="inlineStr">
        <is>
          <t>Minggu 3</t>
        </is>
      </c>
      <c r="G31" s="139" t="inlineStr">
        <is>
          <t>Minggu 4</t>
        </is>
      </c>
      <c r="H31" s="139" t="inlineStr">
        <is>
          <t>Trend</t>
        </is>
      </c>
      <c r="I31" s="139" t="inlineStr">
        <is>
          <t>Action</t>
        </is>
      </c>
      <c r="J31" s="8" t="n"/>
      <c r="K31" s="8" t="n"/>
      <c r="L31" s="8" t="n"/>
      <c r="M31" s="8" t="n"/>
      <c r="N31" s="10" t="n"/>
    </row>
    <row r="32" ht="22" customHeight="1">
      <c r="A32" s="140" t="n">
        <v>1</v>
      </c>
      <c r="B32" s="141" t="inlineStr">
        <is>
          <t>💰 Dana donasi terkumpul (kumulatif, Rp)</t>
        </is>
      </c>
      <c r="C32" s="31" t="inlineStr">
        <is>
          <t>← TARGET Rp</t>
        </is>
      </c>
      <c r="D32" s="31" t="inlineStr">
        <is>
          <t>← ISI</t>
        </is>
      </c>
      <c r="E32" s="31" t="inlineStr">
        <is>
          <t>← ISI</t>
        </is>
      </c>
      <c r="F32" s="31" t="inlineStr">
        <is>
          <t>← ISI</t>
        </is>
      </c>
      <c r="G32" s="31" t="inlineStr">
        <is>
          <t>← ISI</t>
        </is>
      </c>
      <c r="H32" s="142">
        <f>IF(G32&gt;=C32,"📈",IF(G32&gt;=C32*0.8,"➡️","📉"))</f>
        <v/>
      </c>
      <c r="I32" s="80" t="inlineStr">
        <is>
          <t>← Tulis action kalau di bawah target</t>
        </is>
      </c>
      <c r="J32" s="14" t="n"/>
      <c r="K32" s="14" t="n"/>
      <c r="L32" s="14" t="n"/>
      <c r="M32" s="14" t="n"/>
      <c r="N32" s="18" t="n"/>
    </row>
    <row r="33" ht="22" customHeight="1">
      <c r="A33" s="133" t="n">
        <v>2</v>
      </c>
      <c r="B33" s="143" t="inlineStr">
        <is>
          <t>👦 Jumlah anak binaan aktif</t>
        </is>
      </c>
      <c r="C33" s="31" t="inlineStr">
        <is>
          <t>← TARGET angka</t>
        </is>
      </c>
      <c r="D33" s="31" t="inlineStr">
        <is>
          <t>← ISI</t>
        </is>
      </c>
      <c r="E33" s="31" t="inlineStr">
        <is>
          <t>← ISI</t>
        </is>
      </c>
      <c r="F33" s="31" t="inlineStr">
        <is>
          <t>← ISI</t>
        </is>
      </c>
      <c r="G33" s="31" t="inlineStr">
        <is>
          <t>← ISI</t>
        </is>
      </c>
      <c r="H33" s="144">
        <f>IF(G33&gt;=C33,"📈",IF(G33&gt;=C33*0.8,"➡️","📉"))</f>
        <v/>
      </c>
      <c r="I33" s="80" t="inlineStr">
        <is>
          <t>← Tulis action kalau di bawah target</t>
        </is>
      </c>
      <c r="J33" s="14" t="n"/>
      <c r="K33" s="14" t="n"/>
      <c r="L33" s="14" t="n"/>
      <c r="M33" s="14" t="n"/>
      <c r="N33" s="18" t="n"/>
    </row>
    <row r="34" ht="22" customHeight="1">
      <c r="A34" s="140" t="n">
        <v>3</v>
      </c>
      <c r="B34" s="141" t="inlineStr">
        <is>
          <t>🌿 % lahan ditanam vs target</t>
        </is>
      </c>
      <c r="C34" s="31" t="inlineStr">
        <is>
          <t>← TARGET %</t>
        </is>
      </c>
      <c r="D34" s="31" t="inlineStr">
        <is>
          <t>← ISI</t>
        </is>
      </c>
      <c r="E34" s="31" t="inlineStr">
        <is>
          <t>← ISI</t>
        </is>
      </c>
      <c r="F34" s="31" t="inlineStr">
        <is>
          <t>← ISI</t>
        </is>
      </c>
      <c r="G34" s="31" t="inlineStr">
        <is>
          <t>← ISI</t>
        </is>
      </c>
      <c r="H34" s="142">
        <f>IF(G34&gt;=C34,"📈",IF(G34&gt;=C34*0.8,"➡️","📉"))</f>
        <v/>
      </c>
      <c r="I34" s="80" t="inlineStr">
        <is>
          <t>← Tulis action kalau di bawah target</t>
        </is>
      </c>
      <c r="J34" s="14" t="n"/>
      <c r="K34" s="14" t="n"/>
      <c r="L34" s="14" t="n"/>
      <c r="M34" s="14" t="n"/>
      <c r="N34" s="18" t="n"/>
    </row>
    <row r="35" ht="22" customHeight="1">
      <c r="A35" s="133" t="n">
        <v>4</v>
      </c>
      <c r="B35" s="143" t="inlineStr">
        <is>
          <t>📚 % kehadiran kelas Paket C</t>
        </is>
      </c>
      <c r="C35" s="31" t="inlineStr">
        <is>
          <t>← TARGET %</t>
        </is>
      </c>
      <c r="D35" s="31" t="inlineStr">
        <is>
          <t>← ISI</t>
        </is>
      </c>
      <c r="E35" s="31" t="inlineStr">
        <is>
          <t>← ISI</t>
        </is>
      </c>
      <c r="F35" s="31" t="inlineStr">
        <is>
          <t>← ISI</t>
        </is>
      </c>
      <c r="G35" s="31" t="inlineStr">
        <is>
          <t>← ISI</t>
        </is>
      </c>
      <c r="H35" s="144">
        <f>IF(G35&gt;=C35,"📈",IF(G35&gt;=C35*0.8,"➡️","📉"))</f>
        <v/>
      </c>
      <c r="I35" s="80" t="inlineStr">
        <is>
          <t>← Tulis action kalau di bawah target</t>
        </is>
      </c>
      <c r="J35" s="14" t="n"/>
      <c r="K35" s="14" t="n"/>
      <c r="L35" s="14" t="n"/>
      <c r="M35" s="14" t="n"/>
      <c r="N35" s="18" t="n"/>
    </row>
    <row r="36" ht="22" customHeight="1">
      <c r="A36" s="140" t="n">
        <v>5</v>
      </c>
      <c r="B36" s="141" t="inlineStr">
        <is>
          <t>🤝 Jumlah relawan aktif minggu ini</t>
        </is>
      </c>
      <c r="C36" s="31" t="inlineStr">
        <is>
          <t>← TARGET angka</t>
        </is>
      </c>
      <c r="D36" s="31" t="inlineStr">
        <is>
          <t>← ISI</t>
        </is>
      </c>
      <c r="E36" s="31" t="inlineStr">
        <is>
          <t>← ISI</t>
        </is>
      </c>
      <c r="F36" s="31" t="inlineStr">
        <is>
          <t>← ISI</t>
        </is>
      </c>
      <c r="G36" s="31" t="inlineStr">
        <is>
          <t>← ISI</t>
        </is>
      </c>
      <c r="H36" s="142">
        <f>IF(G36&gt;=C36,"📈",IF(G36&gt;=C36*0.8,"➡️","📉"))</f>
        <v/>
      </c>
      <c r="I36" s="80" t="inlineStr">
        <is>
          <t>← Tulis action kalau di bawah target</t>
        </is>
      </c>
      <c r="J36" s="14" t="n"/>
      <c r="K36" s="14" t="n"/>
      <c r="L36" s="14" t="n"/>
      <c r="M36" s="14" t="n"/>
      <c r="N36" s="18" t="n"/>
    </row>
    <row r="37" ht="22" customHeight="1">
      <c r="A37" s="133" t="n">
        <v>6</v>
      </c>
      <c r="B37" s="143" t="inlineStr">
        <is>
          <t>🐐 Kondisi ternak (skala 1–5)</t>
        </is>
      </c>
      <c r="C37" s="31" t="inlineStr">
        <is>
          <t>← TARGET min 4</t>
        </is>
      </c>
      <c r="D37" s="31" t="inlineStr">
        <is>
          <t>← ISI</t>
        </is>
      </c>
      <c r="E37" s="31" t="inlineStr">
        <is>
          <t>← ISI</t>
        </is>
      </c>
      <c r="F37" s="31" t="inlineStr">
        <is>
          <t>← ISI</t>
        </is>
      </c>
      <c r="G37" s="31" t="inlineStr">
        <is>
          <t>← ISI</t>
        </is>
      </c>
      <c r="H37" s="144">
        <f>IF(G37&gt;=C37,"📈",IF(G37&gt;=C37*0.8,"➡️","📉"))</f>
        <v/>
      </c>
      <c r="I37" s="80" t="inlineStr">
        <is>
          <t>← Tulis action kalau di bawah target</t>
        </is>
      </c>
      <c r="J37" s="14" t="n"/>
      <c r="K37" s="14" t="n"/>
      <c r="L37" s="14" t="n"/>
      <c r="M37" s="14" t="n"/>
      <c r="N37" s="18" t="n"/>
    </row>
    <row r="38" ht="22" customHeight="1">
      <c r="A38" s="140" t="n">
        <v>7</v>
      </c>
      <c r="B38" s="141" t="inlineStr">
        <is>
          <t>💬 Jumlah donor baru minggu ini</t>
        </is>
      </c>
      <c r="C38" s="31" t="inlineStr">
        <is>
          <t>← TARGET angka</t>
        </is>
      </c>
      <c r="D38" s="31" t="inlineStr">
        <is>
          <t>← ISI</t>
        </is>
      </c>
      <c r="E38" s="31" t="inlineStr">
        <is>
          <t>← ISI</t>
        </is>
      </c>
      <c r="F38" s="31" t="inlineStr">
        <is>
          <t>← ISI</t>
        </is>
      </c>
      <c r="G38" s="31" t="inlineStr">
        <is>
          <t>← ISI</t>
        </is>
      </c>
      <c r="H38" s="142">
        <f>IF(G38&gt;=C38,"📈",IF(G38&gt;=C38*0.8,"➡️","📉"))</f>
        <v/>
      </c>
      <c r="I38" s="80" t="inlineStr">
        <is>
          <t>← Tulis action kalau di bawah target</t>
        </is>
      </c>
      <c r="J38" s="14" t="n"/>
      <c r="K38" s="14" t="n"/>
      <c r="L38" s="14" t="n"/>
      <c r="M38" s="14" t="n"/>
      <c r="N38" s="18" t="n"/>
    </row>
    <row r="39" ht="22" customHeight="1">
      <c r="A39" s="133" t="n">
        <v>8</v>
      </c>
      <c r="B39" s="143" t="inlineStr">
        <is>
          <t>📱 Follower IG + engagement rate</t>
        </is>
      </c>
      <c r="C39" s="31" t="inlineStr">
        <is>
          <t>← TARGET angka/%</t>
        </is>
      </c>
      <c r="D39" s="31" t="inlineStr">
        <is>
          <t>← ISI</t>
        </is>
      </c>
      <c r="E39" s="31" t="inlineStr">
        <is>
          <t>← ISI</t>
        </is>
      </c>
      <c r="F39" s="31" t="inlineStr">
        <is>
          <t>← ISI</t>
        </is>
      </c>
      <c r="G39" s="31" t="inlineStr">
        <is>
          <t>← ISI</t>
        </is>
      </c>
      <c r="H39" s="144">
        <f>IF(G39&gt;=C39,"📈",IF(G39&gt;=C39*0.8,"➡️","📉"))</f>
        <v/>
      </c>
      <c r="I39" s="80" t="inlineStr">
        <is>
          <t>← Tulis action kalau di bawah target</t>
        </is>
      </c>
      <c r="J39" s="14" t="n"/>
      <c r="K39" s="14" t="n"/>
      <c r="L39" s="14" t="n"/>
      <c r="M39" s="14" t="n"/>
      <c r="N39" s="18" t="n"/>
    </row>
    <row r="40" ht="22" customHeight="1">
      <c r="A40" s="140" t="n">
        <v>9</v>
      </c>
      <c r="B40" s="141" t="inlineStr">
        <is>
          <t>🌏 Status aplikasi grant internasional</t>
        </is>
      </c>
      <c r="C40" s="31" t="inlineStr">
        <is>
          <t>← Jumlah yang disubmit</t>
        </is>
      </c>
      <c r="D40" s="31" t="inlineStr">
        <is>
          <t>← ISI</t>
        </is>
      </c>
      <c r="E40" s="31" t="inlineStr">
        <is>
          <t>← ISI</t>
        </is>
      </c>
      <c r="F40" s="31" t="inlineStr">
        <is>
          <t>← ISI</t>
        </is>
      </c>
      <c r="G40" s="31" t="inlineStr">
        <is>
          <t>← ISI</t>
        </is>
      </c>
      <c r="H40" s="142">
        <f>IF(G40&gt;=C40,"📈",IF(G40&gt;=C40*0.8,"➡️","📉"))</f>
        <v/>
      </c>
      <c r="I40" s="80" t="inlineStr">
        <is>
          <t>← Tulis action kalau di bawah target</t>
        </is>
      </c>
      <c r="J40" s="14" t="n"/>
      <c r="K40" s="14" t="n"/>
      <c r="L40" s="14" t="n"/>
      <c r="M40" s="14" t="n"/>
      <c r="N40" s="18" t="n"/>
    </row>
    <row r="41" ht="22" customHeight="1">
      <c r="A41" s="133" t="n">
        <v>10</v>
      </c>
      <c r="B41" s="143" t="inlineStr">
        <is>
          <t>⚠️ Jumlah risiko aktif (level High)</t>
        </is>
      </c>
      <c r="C41" s="31" t="inlineStr">
        <is>
          <t>← TARGET = 0</t>
        </is>
      </c>
      <c r="D41" s="31" t="inlineStr">
        <is>
          <t>← ISI</t>
        </is>
      </c>
      <c r="E41" s="31" t="inlineStr">
        <is>
          <t>← ISI</t>
        </is>
      </c>
      <c r="F41" s="31" t="inlineStr">
        <is>
          <t>← ISI</t>
        </is>
      </c>
      <c r="G41" s="31" t="inlineStr">
        <is>
          <t>← ISI</t>
        </is>
      </c>
      <c r="H41" s="144">
        <f>IF(G41&gt;=C41,"📈",IF(G41&gt;=C41*0.8,"➡️","📉"))</f>
        <v/>
      </c>
      <c r="I41" s="80" t="inlineStr">
        <is>
          <t>← Tulis action kalau di bawah target</t>
        </is>
      </c>
      <c r="J41" s="14" t="n"/>
      <c r="K41" s="14" t="n"/>
      <c r="L41" s="14" t="n"/>
      <c r="M41" s="14" t="n"/>
      <c r="N41" s="18" t="n"/>
    </row>
  </sheetData>
  <mergeCells count="38">
    <mergeCell ref="I41:N41"/>
    <mergeCell ref="I32:N32"/>
    <mergeCell ref="I37:N37"/>
    <mergeCell ref="A30:N30"/>
    <mergeCell ref="M9:N9"/>
    <mergeCell ref="A1:N1"/>
    <mergeCell ref="I33:N33"/>
    <mergeCell ref="M11:N11"/>
    <mergeCell ref="M20:N20"/>
    <mergeCell ref="M10:N10"/>
    <mergeCell ref="I39:N39"/>
    <mergeCell ref="I35:N35"/>
    <mergeCell ref="M22:N22"/>
    <mergeCell ref="I38:N38"/>
    <mergeCell ref="M13:N13"/>
    <mergeCell ref="M16:N16"/>
    <mergeCell ref="M7:N7"/>
    <mergeCell ref="M25:N25"/>
    <mergeCell ref="A3:N3"/>
    <mergeCell ref="M15:N15"/>
    <mergeCell ref="M21:N21"/>
    <mergeCell ref="M6:N6"/>
    <mergeCell ref="M12:N12"/>
    <mergeCell ref="A2:N2"/>
    <mergeCell ref="I40:N40"/>
    <mergeCell ref="M18:N18"/>
    <mergeCell ref="I31:N31"/>
    <mergeCell ref="A5:N5"/>
    <mergeCell ref="I34:N34"/>
    <mergeCell ref="M8:N8"/>
    <mergeCell ref="M26:N26"/>
    <mergeCell ref="M17:N17"/>
    <mergeCell ref="M24:N24"/>
    <mergeCell ref="M23:N23"/>
    <mergeCell ref="I36:N36"/>
    <mergeCell ref="M14:N14"/>
    <mergeCell ref="A29:N29"/>
    <mergeCell ref="M19:N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44" customHeight="1">
      <c r="A1" s="1" t="inlineStr">
        <is>
          <t>📋 SCORECARD FOUNDER — NAWA CAHAYA</t>
        </is>
      </c>
    </row>
    <row r="2" ht="18" customHeight="1">
      <c r="A2" s="2" t="inlineStr">
        <is>
          <t>Update tiap Senin pagi · 1 halaman · Kalau semua hijau = yayasan sehat · Kalau ada merah = eskalasi hari itu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2" customHeight="1">
      <c r="A5" s="29" t="inlineStr">
        <is>
          <t>A. RINGKASAN KESEHATAN YAYASAN (Update Bulanan)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8" t="n"/>
    </row>
    <row r="6" ht="26" customHeight="1">
      <c r="A6" s="6" t="inlineStr">
        <is>
          <t>No</t>
        </is>
      </c>
      <c r="B6" s="9" t="inlineStr">
        <is>
          <t>Indikator</t>
        </is>
      </c>
      <c r="C6" s="9" t="inlineStr">
        <is>
          <t>Target</t>
        </is>
      </c>
      <c r="D6" s="9" t="inlineStr">
        <is>
          <t>Aktual Bln Ini</t>
        </is>
      </c>
      <c r="E6" s="9" t="inlineStr">
        <is>
          <t>vs Target</t>
        </is>
      </c>
      <c r="F6" s="9" t="inlineStr">
        <is>
          <t>Status</t>
        </is>
      </c>
      <c r="G6" s="9" t="inlineStr">
        <is>
          <t>Trend</t>
        </is>
      </c>
      <c r="H6" s="9" t="inlineStr">
        <is>
          <t>Catatan</t>
        </is>
      </c>
      <c r="I6" s="8" t="n"/>
      <c r="J6" s="8" t="n"/>
      <c r="K6" s="8" t="n"/>
      <c r="L6" s="8" t="n"/>
      <c r="M6" s="8" t="n"/>
      <c r="N6" s="10" t="n"/>
    </row>
    <row r="7" ht="22" customHeight="1">
      <c r="A7" s="140" t="n">
        <v>1</v>
      </c>
      <c r="B7" s="141" t="inlineStr">
        <is>
          <t>💰 Total donasi terkumpul (kumulatif)</t>
        </is>
      </c>
      <c r="C7" s="31" t="inlineStr">
        <is>
          <t>← ISI TARGET</t>
        </is>
      </c>
      <c r="D7" s="31" t="inlineStr">
        <is>
          <t>← ISI AKTUAL</t>
        </is>
      </c>
      <c r="E7" s="145">
        <f>IFERROR(IF(D7&gt;=C7,"✅","⚠️"),"—")</f>
        <v/>
      </c>
      <c r="F7" s="146">
        <f>IFERROR(IF(D7&gt;=C7,"🟢 ON TRACK","🔴 OFF TRACK"),"—")</f>
        <v/>
      </c>
      <c r="G7" s="31" t="inlineStr">
        <is>
          <t>📈/➡️/📉</t>
        </is>
      </c>
      <c r="H7" s="80" t="inlineStr">
        <is>
          <t>← Catatan / action</t>
        </is>
      </c>
      <c r="I7" s="14" t="n"/>
      <c r="J7" s="14" t="n"/>
      <c r="K7" s="14" t="n"/>
      <c r="L7" s="14" t="n"/>
      <c r="M7" s="14" t="n"/>
      <c r="N7" s="18" t="n"/>
    </row>
    <row r="8" ht="22" customHeight="1">
      <c r="A8" s="133" t="n">
        <v>2</v>
      </c>
      <c r="B8" s="143" t="inlineStr">
        <is>
          <t>📤 Total pengeluaran bulan ini</t>
        </is>
      </c>
      <c r="C8" s="31" t="inlineStr">
        <is>
          <t>← ISI BUDGET MAX</t>
        </is>
      </c>
      <c r="D8" s="31" t="inlineStr">
        <is>
          <t>← ISI AKTUAL</t>
        </is>
      </c>
      <c r="E8" s="147">
        <f>IFERROR(IF(D8&gt;=C8,"✅","⚠️"),"—")</f>
        <v/>
      </c>
      <c r="F8" s="148">
        <f>IFERROR(IF(D8&gt;=C8,"🟢 ON TRACK","🔴 OFF TRACK"),"—")</f>
        <v/>
      </c>
      <c r="G8" s="31" t="inlineStr">
        <is>
          <t>📈/➡️/📉</t>
        </is>
      </c>
      <c r="H8" s="80" t="inlineStr">
        <is>
          <t>← Catatan / action</t>
        </is>
      </c>
      <c r="I8" s="14" t="n"/>
      <c r="J8" s="14" t="n"/>
      <c r="K8" s="14" t="n"/>
      <c r="L8" s="14" t="n"/>
      <c r="M8" s="14" t="n"/>
      <c r="N8" s="18" t="n"/>
    </row>
    <row r="9" ht="22" customHeight="1">
      <c r="A9" s="140" t="n">
        <v>3</v>
      </c>
      <c r="B9" s="141" t="inlineStr">
        <is>
          <t>🏦 Saldo kas tersedia</t>
        </is>
      </c>
      <c r="C9" s="31" t="inlineStr">
        <is>
          <t>← ISI MIN KAS</t>
        </is>
      </c>
      <c r="D9" s="31" t="inlineStr">
        <is>
          <t>← ISI AKTUAL</t>
        </is>
      </c>
      <c r="E9" s="145">
        <f>IFERROR(IF(D9&gt;=C9,"✅","⚠️"),"—")</f>
        <v/>
      </c>
      <c r="F9" s="146">
        <f>IFERROR(IF(D9&gt;=C9,"🟢 ON TRACK","🔴 OFF TRACK"),"—")</f>
        <v/>
      </c>
      <c r="G9" s="31" t="inlineStr">
        <is>
          <t>📈/➡️/📉</t>
        </is>
      </c>
      <c r="H9" s="80" t="inlineStr">
        <is>
          <t>← Catatan / action</t>
        </is>
      </c>
      <c r="I9" s="14" t="n"/>
      <c r="J9" s="14" t="n"/>
      <c r="K9" s="14" t="n"/>
      <c r="L9" s="14" t="n"/>
      <c r="M9" s="14" t="n"/>
      <c r="N9" s="18" t="n"/>
    </row>
    <row r="10" ht="22" customHeight="1">
      <c r="A10" s="133" t="n">
        <v>4</v>
      </c>
      <c r="B10" s="143" t="inlineStr">
        <is>
          <t>👦 Jumlah anak binaan aktif</t>
        </is>
      </c>
      <c r="C10" s="31" t="inlineStr">
        <is>
          <t>← ISI TARGET</t>
        </is>
      </c>
      <c r="D10" s="31" t="inlineStr">
        <is>
          <t>← ISI AKTUAL</t>
        </is>
      </c>
      <c r="E10" s="147">
        <f>IFERROR(IF(D10&gt;=C10,"✅","⚠️"),"—")</f>
        <v/>
      </c>
      <c r="F10" s="148">
        <f>IFERROR(IF(D10&gt;=C10,"🟢 ON TRACK","🔴 OFF TRACK"),"—")</f>
        <v/>
      </c>
      <c r="G10" s="31" t="inlineStr">
        <is>
          <t>📈/➡️/📉</t>
        </is>
      </c>
      <c r="H10" s="80" t="inlineStr">
        <is>
          <t>← Catatan / action</t>
        </is>
      </c>
      <c r="I10" s="14" t="n"/>
      <c r="J10" s="14" t="n"/>
      <c r="K10" s="14" t="n"/>
      <c r="L10" s="14" t="n"/>
      <c r="M10" s="14" t="n"/>
      <c r="N10" s="18" t="n"/>
    </row>
    <row r="11" ht="22" customHeight="1">
      <c r="A11" s="140" t="n">
        <v>5</v>
      </c>
      <c r="B11" s="141" t="inlineStr">
        <is>
          <t>📚 Rata-rata nilai akademik anak</t>
        </is>
      </c>
      <c r="C11" s="31" t="inlineStr">
        <is>
          <t>← Min 3.0/5.0</t>
        </is>
      </c>
      <c r="D11" s="31" t="inlineStr">
        <is>
          <t>← ISI AKTUAL</t>
        </is>
      </c>
      <c r="E11" s="145">
        <f>IFERROR(IF(D11&gt;=C11,"✅","⚠️"),"—")</f>
        <v/>
      </c>
      <c r="F11" s="146">
        <f>IFERROR(IF(D11&gt;=C11,"🟢 ON TRACK","🔴 OFF TRACK"),"—")</f>
        <v/>
      </c>
      <c r="G11" s="31" t="inlineStr">
        <is>
          <t>📈/➡️/📉</t>
        </is>
      </c>
      <c r="H11" s="80" t="inlineStr">
        <is>
          <t>← Catatan / action</t>
        </is>
      </c>
      <c r="I11" s="14" t="n"/>
      <c r="J11" s="14" t="n"/>
      <c r="K11" s="14" t="n"/>
      <c r="L11" s="14" t="n"/>
      <c r="M11" s="14" t="n"/>
      <c r="N11" s="18" t="n"/>
    </row>
    <row r="12" ht="22" customHeight="1">
      <c r="A12" s="133" t="n">
        <v>6</v>
      </c>
      <c r="B12" s="143" t="inlineStr">
        <is>
          <t>🧠 Rata-rata skor psikologis anak</t>
        </is>
      </c>
      <c r="C12" s="31" t="inlineStr">
        <is>
          <t>← Min 3.0/5.0</t>
        </is>
      </c>
      <c r="D12" s="31" t="inlineStr">
        <is>
          <t>← ISI AKTUAL</t>
        </is>
      </c>
      <c r="E12" s="147">
        <f>IFERROR(IF(D12&gt;=C12,"✅","⚠️"),"—")</f>
        <v/>
      </c>
      <c r="F12" s="148">
        <f>IFERROR(IF(D12&gt;=C12,"🟢 ON TRACK","🔴 OFF TRACK"),"—")</f>
        <v/>
      </c>
      <c r="G12" s="31" t="inlineStr">
        <is>
          <t>📈/➡️/📉</t>
        </is>
      </c>
      <c r="H12" s="80" t="inlineStr">
        <is>
          <t>← Catatan / action</t>
        </is>
      </c>
      <c r="I12" s="14" t="n"/>
      <c r="J12" s="14" t="n"/>
      <c r="K12" s="14" t="n"/>
      <c r="L12" s="14" t="n"/>
      <c r="M12" s="14" t="n"/>
      <c r="N12" s="18" t="n"/>
    </row>
    <row r="13" ht="22" customHeight="1">
      <c r="A13" s="140" t="n">
        <v>7</v>
      </c>
      <c r="B13" s="141" t="inlineStr">
        <is>
          <t>🌿 % lahan produktif berjalan</t>
        </is>
      </c>
      <c r="C13" s="31" t="inlineStr">
        <is>
          <t>← Min 80%</t>
        </is>
      </c>
      <c r="D13" s="31" t="inlineStr">
        <is>
          <t>← ISI AKTUAL</t>
        </is>
      </c>
      <c r="E13" s="145">
        <f>IFERROR(IF(D13&gt;=C13,"✅","⚠️"),"—")</f>
        <v/>
      </c>
      <c r="F13" s="146">
        <f>IFERROR(IF(D13&gt;=C13,"🟢 ON TRACK","🔴 OFF TRACK"),"—")</f>
        <v/>
      </c>
      <c r="G13" s="31" t="inlineStr">
        <is>
          <t>📈/➡️/📉</t>
        </is>
      </c>
      <c r="H13" s="80" t="inlineStr">
        <is>
          <t>← Catatan / action</t>
        </is>
      </c>
      <c r="I13" s="14" t="n"/>
      <c r="J13" s="14" t="n"/>
      <c r="K13" s="14" t="n"/>
      <c r="L13" s="14" t="n"/>
      <c r="M13" s="14" t="n"/>
      <c r="N13" s="18" t="n"/>
    </row>
    <row r="14" ht="22" customHeight="1">
      <c r="A14" s="133" t="n">
        <v>8</v>
      </c>
      <c r="B14" s="143" t="inlineStr">
        <is>
          <t>🐐 Kondisi ternak (1–5)</t>
        </is>
      </c>
      <c r="C14" s="31" t="inlineStr">
        <is>
          <t>← Min 4/5</t>
        </is>
      </c>
      <c r="D14" s="31" t="inlineStr">
        <is>
          <t>← ISI AKTUAL</t>
        </is>
      </c>
      <c r="E14" s="147">
        <f>IFERROR(IF(D14&gt;=C14,"✅","⚠️"),"—")</f>
        <v/>
      </c>
      <c r="F14" s="148">
        <f>IFERROR(IF(D14&gt;=C14,"🟢 ON TRACK","🔴 OFF TRACK"),"—")</f>
        <v/>
      </c>
      <c r="G14" s="31" t="inlineStr">
        <is>
          <t>📈/➡️/📉</t>
        </is>
      </c>
      <c r="H14" s="80" t="inlineStr">
        <is>
          <t>← Catatan / action</t>
        </is>
      </c>
      <c r="I14" s="14" t="n"/>
      <c r="J14" s="14" t="n"/>
      <c r="K14" s="14" t="n"/>
      <c r="L14" s="14" t="n"/>
      <c r="M14" s="14" t="n"/>
      <c r="N14" s="18" t="n"/>
    </row>
    <row r="15" ht="22" customHeight="1">
      <c r="A15" s="140" t="n">
        <v>9</v>
      </c>
      <c r="B15" s="141" t="inlineStr">
        <is>
          <t>🤝 Jumlah relawan aktif</t>
        </is>
      </c>
      <c r="C15" s="31" t="inlineStr">
        <is>
          <t>← ISI TARGET</t>
        </is>
      </c>
      <c r="D15" s="31" t="inlineStr">
        <is>
          <t>← ISI AKTUAL</t>
        </is>
      </c>
      <c r="E15" s="145">
        <f>IFERROR(IF(D15&gt;=C15,"✅","⚠️"),"—")</f>
        <v/>
      </c>
      <c r="F15" s="146">
        <f>IFERROR(IF(D15&gt;=C15,"🟢 ON TRACK","🔴 OFF TRACK"),"—")</f>
        <v/>
      </c>
      <c r="G15" s="31" t="inlineStr">
        <is>
          <t>📈/➡️/📉</t>
        </is>
      </c>
      <c r="H15" s="80" t="inlineStr">
        <is>
          <t>← Catatan / action</t>
        </is>
      </c>
      <c r="I15" s="14" t="n"/>
      <c r="J15" s="14" t="n"/>
      <c r="K15" s="14" t="n"/>
      <c r="L15" s="14" t="n"/>
      <c r="M15" s="14" t="n"/>
      <c r="N15" s="18" t="n"/>
    </row>
    <row r="16" ht="22" customHeight="1">
      <c r="A16" s="133" t="n">
        <v>10</v>
      </c>
      <c r="B16" s="143" t="inlineStr">
        <is>
          <t>📱 Donatur baru bulan ini</t>
        </is>
      </c>
      <c r="C16" s="31" t="inlineStr">
        <is>
          <t>← ISI TARGET</t>
        </is>
      </c>
      <c r="D16" s="31" t="inlineStr">
        <is>
          <t>← ISI AKTUAL</t>
        </is>
      </c>
      <c r="E16" s="147">
        <f>IFERROR(IF(D16&gt;=C16,"✅","⚠️"),"—")</f>
        <v/>
      </c>
      <c r="F16" s="148">
        <f>IFERROR(IF(D16&gt;=C16,"🟢 ON TRACK","🔴 OFF TRACK"),"—")</f>
        <v/>
      </c>
      <c r="G16" s="31" t="inlineStr">
        <is>
          <t>📈/➡️/📉</t>
        </is>
      </c>
      <c r="H16" s="80" t="inlineStr">
        <is>
          <t>← Catatan / action</t>
        </is>
      </c>
      <c r="I16" s="14" t="n"/>
      <c r="J16" s="14" t="n"/>
      <c r="K16" s="14" t="n"/>
      <c r="L16" s="14" t="n"/>
      <c r="M16" s="14" t="n"/>
      <c r="N16" s="18" t="n"/>
    </row>
    <row r="17" ht="22" customHeight="1">
      <c r="A17" s="140" t="n">
        <v>11</v>
      </c>
      <c r="B17" s="141" t="inlineStr">
        <is>
          <t>⚠️ Jumlah risiko High aktif</t>
        </is>
      </c>
      <c r="C17" s="31" t="inlineStr">
        <is>
          <t>← Target = 0</t>
        </is>
      </c>
      <c r="D17" s="31" t="inlineStr">
        <is>
          <t>← ISI AKTUAL</t>
        </is>
      </c>
      <c r="E17" s="145">
        <f>IFERROR(IF(D17&gt;=C17,"✅","⚠️"),"—")</f>
        <v/>
      </c>
      <c r="F17" s="146">
        <f>IFERROR(IF(D17&gt;=C17,"🟢 ON TRACK","🔴 OFF TRACK"),"—")</f>
        <v/>
      </c>
      <c r="G17" s="31" t="inlineStr">
        <is>
          <t>📈/➡️/📉</t>
        </is>
      </c>
      <c r="H17" s="80" t="inlineStr">
        <is>
          <t>← Catatan / action</t>
        </is>
      </c>
      <c r="I17" s="14" t="n"/>
      <c r="J17" s="14" t="n"/>
      <c r="K17" s="14" t="n"/>
      <c r="L17" s="14" t="n"/>
      <c r="M17" s="14" t="n"/>
      <c r="N17" s="18" t="n"/>
    </row>
    <row r="18" ht="22" customHeight="1">
      <c r="A18" s="133" t="n">
        <v>12</v>
      </c>
      <c r="B18" s="143" t="inlineStr">
        <is>
          <t>🔍 Transparansi: laporan bulanan terkirim?</t>
        </is>
      </c>
      <c r="C18" s="31" t="inlineStr">
        <is>
          <t>← Ya/Tidak</t>
        </is>
      </c>
      <c r="D18" s="31" t="inlineStr">
        <is>
          <t>← ISI AKTUAL</t>
        </is>
      </c>
      <c r="E18" s="147">
        <f>IFERROR(IF(D18&gt;=C18,"✅","⚠️"),"—")</f>
        <v/>
      </c>
      <c r="F18" s="148">
        <f>IFERROR(IF(D18&gt;=C18,"🟢 ON TRACK","🔴 OFF TRACK"),"—")</f>
        <v/>
      </c>
      <c r="G18" s="31" t="inlineStr">
        <is>
          <t>📈/➡️/📉</t>
        </is>
      </c>
      <c r="H18" s="80" t="inlineStr">
        <is>
          <t>← Catatan / action</t>
        </is>
      </c>
      <c r="I18" s="14" t="n"/>
      <c r="J18" s="14" t="n"/>
      <c r="K18" s="14" t="n"/>
      <c r="L18" s="14" t="n"/>
      <c r="M18" s="14" t="n"/>
      <c r="N18" s="18" t="n"/>
    </row>
    <row r="21" ht="22" customHeight="1">
      <c r="A21" s="29" t="inlineStr">
        <is>
          <t>B. OKR (OBJECTIVE &amp; KEY RESULTS) KUARTALAN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8" t="n"/>
    </row>
    <row r="22" ht="22" customHeight="1">
      <c r="A22" s="33" t="inlineStr">
        <is>
          <t xml:space="preserve">  Setiap kuartal punya 1 Objective + 3 Key Results. Ukuran keberhasilan pakai angka, bukan kata-kata.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8" t="n"/>
    </row>
    <row r="23" ht="22" customHeight="1">
      <c r="A23" s="149" t="inlineStr">
        <is>
          <t>Kuartal</t>
        </is>
      </c>
      <c r="B23" s="150" t="inlineStr">
        <is>
          <t>Objective</t>
        </is>
      </c>
      <c r="C23" s="150" t="inlineStr">
        <is>
          <t>Key Result 1</t>
        </is>
      </c>
      <c r="D23" s="150" t="inlineStr">
        <is>
          <t>Target KR1</t>
        </is>
      </c>
      <c r="E23" s="150" t="inlineStr">
        <is>
          <t>Key Result 2</t>
        </is>
      </c>
      <c r="F23" s="150" t="inlineStr">
        <is>
          <t>Target KR2</t>
        </is>
      </c>
      <c r="G23" s="150" t="inlineStr">
        <is>
          <t>Key Result 3</t>
        </is>
      </c>
      <c r="H23" s="150" t="inlineStr">
        <is>
          <t>Target KR3</t>
        </is>
      </c>
      <c r="I23" s="8" t="n"/>
      <c r="J23" s="8" t="n"/>
      <c r="K23" s="8" t="n"/>
      <c r="L23" s="8" t="n"/>
      <c r="M23" s="8" t="n"/>
      <c r="N23" s="10" t="n"/>
    </row>
    <row r="24" ht="28" customHeight="1">
      <c r="A24" s="151" t="inlineStr">
        <is>
          <t>Q1 2025</t>
        </is>
      </c>
      <c r="B24" s="31" t="inlineStr">
        <is>
          <t>← Tulis 1 objective utama kuartal ini</t>
        </is>
      </c>
      <c r="C24" s="31" t="inlineStr">
        <is>
          <t>← Key Result</t>
        </is>
      </c>
      <c r="D24" s="31" t="inlineStr">
        <is>
          <t>← Target angka</t>
        </is>
      </c>
      <c r="E24" s="31" t="inlineStr">
        <is>
          <t>← Key Result</t>
        </is>
      </c>
      <c r="F24" s="31" t="inlineStr">
        <is>
          <t>← Target angka</t>
        </is>
      </c>
      <c r="G24" s="31" t="inlineStr">
        <is>
          <t>← Key Result</t>
        </is>
      </c>
      <c r="H24" s="31" t="inlineStr">
        <is>
          <t>← Target angka</t>
        </is>
      </c>
      <c r="I24" s="14" t="n"/>
      <c r="J24" s="14" t="n"/>
      <c r="K24" s="14" t="n"/>
      <c r="L24" s="14" t="n"/>
      <c r="M24" s="14" t="n"/>
      <c r="N24" s="18" t="n"/>
    </row>
    <row r="25" ht="28" customHeight="1">
      <c r="A25" s="151" t="inlineStr">
        <is>
          <t>Q2 2025</t>
        </is>
      </c>
      <c r="B25" s="31" t="inlineStr">
        <is>
          <t>← Tulis 1 objective utama kuartal ini</t>
        </is>
      </c>
      <c r="C25" s="31" t="inlineStr">
        <is>
          <t>← Key Result</t>
        </is>
      </c>
      <c r="D25" s="31" t="inlineStr">
        <is>
          <t>← Target angka</t>
        </is>
      </c>
      <c r="E25" s="31" t="inlineStr">
        <is>
          <t>← Key Result</t>
        </is>
      </c>
      <c r="F25" s="31" t="inlineStr">
        <is>
          <t>← Target angka</t>
        </is>
      </c>
      <c r="G25" s="31" t="inlineStr">
        <is>
          <t>← Key Result</t>
        </is>
      </c>
      <c r="H25" s="31" t="inlineStr">
        <is>
          <t>← Target angka</t>
        </is>
      </c>
      <c r="I25" s="14" t="n"/>
      <c r="J25" s="14" t="n"/>
      <c r="K25" s="14" t="n"/>
      <c r="L25" s="14" t="n"/>
      <c r="M25" s="14" t="n"/>
      <c r="N25" s="18" t="n"/>
    </row>
    <row r="26" ht="28" customHeight="1">
      <c r="A26" s="151" t="inlineStr">
        <is>
          <t>Q3 2025</t>
        </is>
      </c>
      <c r="B26" s="31" t="inlineStr">
        <is>
          <t>← Tulis 1 objective utama kuartal ini</t>
        </is>
      </c>
      <c r="C26" s="31" t="inlineStr">
        <is>
          <t>← Key Result</t>
        </is>
      </c>
      <c r="D26" s="31" t="inlineStr">
        <is>
          <t>← Target angka</t>
        </is>
      </c>
      <c r="E26" s="31" t="inlineStr">
        <is>
          <t>← Key Result</t>
        </is>
      </c>
      <c r="F26" s="31" t="inlineStr">
        <is>
          <t>← Target angka</t>
        </is>
      </c>
      <c r="G26" s="31" t="inlineStr">
        <is>
          <t>← Key Result</t>
        </is>
      </c>
      <c r="H26" s="31" t="inlineStr">
        <is>
          <t>← Target angka</t>
        </is>
      </c>
      <c r="I26" s="14" t="n"/>
      <c r="J26" s="14" t="n"/>
      <c r="K26" s="14" t="n"/>
      <c r="L26" s="14" t="n"/>
      <c r="M26" s="14" t="n"/>
      <c r="N26" s="18" t="n"/>
    </row>
    <row r="27" ht="28" customHeight="1">
      <c r="A27" s="151" t="inlineStr">
        <is>
          <t>Q4 2025</t>
        </is>
      </c>
      <c r="B27" s="31" t="inlineStr">
        <is>
          <t>← Tulis 1 objective utama kuartal ini</t>
        </is>
      </c>
      <c r="C27" s="31" t="inlineStr">
        <is>
          <t>← Key Result</t>
        </is>
      </c>
      <c r="D27" s="31" t="inlineStr">
        <is>
          <t>← Target angka</t>
        </is>
      </c>
      <c r="E27" s="31" t="inlineStr">
        <is>
          <t>← Key Result</t>
        </is>
      </c>
      <c r="F27" s="31" t="inlineStr">
        <is>
          <t>← Target angka</t>
        </is>
      </c>
      <c r="G27" s="31" t="inlineStr">
        <is>
          <t>← Key Result</t>
        </is>
      </c>
      <c r="H27" s="31" t="inlineStr">
        <is>
          <t>← Target angka</t>
        </is>
      </c>
      <c r="I27" s="14" t="n"/>
      <c r="J27" s="14" t="n"/>
      <c r="K27" s="14" t="n"/>
      <c r="L27" s="14" t="n"/>
      <c r="M27" s="14" t="n"/>
      <c r="N27" s="18" t="n"/>
    </row>
  </sheetData>
  <mergeCells count="20">
    <mergeCell ref="H13:N13"/>
    <mergeCell ref="H12:N12"/>
    <mergeCell ref="H15:N15"/>
    <mergeCell ref="H18:N18"/>
    <mergeCell ref="A1:N1"/>
    <mergeCell ref="H23:N23"/>
    <mergeCell ref="H8:N8"/>
    <mergeCell ref="H14:N14"/>
    <mergeCell ref="H10:N10"/>
    <mergeCell ref="A3:N3"/>
    <mergeCell ref="H9:N9"/>
    <mergeCell ref="A21:N21"/>
    <mergeCell ref="A2:N2"/>
    <mergeCell ref="H6:N6"/>
    <mergeCell ref="A5:N5"/>
    <mergeCell ref="A22:N22"/>
    <mergeCell ref="H17:N17"/>
    <mergeCell ref="H11:N11"/>
    <mergeCell ref="H7:N7"/>
    <mergeCell ref="H16:N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</cols>
  <sheetData>
    <row r="1" ht="44" customHeight="1">
      <c r="A1" s="1" t="inlineStr">
        <is>
          <t>🎓 KURIKULUM SKILL &amp; JALUR ALUMNI — NAWA CAHAYA</t>
        </is>
      </c>
    </row>
    <row r="2" ht="18" customHeight="1">
      <c r="A2" s="2" t="inlineStr">
        <is>
          <t>Peta belajar anak binaan dari masuk hingga mandiri · Program Junior CEO · Jalur setelah keluar</t>
        </is>
      </c>
    </row>
    <row r="3" ht="20" customHeight="1">
      <c r="A3" s="28" t="inlineStr">
        <is>
          <t xml:space="preserve">  🔴 SEL MERAH = WAJIB DIISI sebelum presentasi ke investor  · Cel putih = sudah terisi / formula otomatis  · Kerjakan dari atas ke bawah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5" ht="22" customHeight="1">
      <c r="A5" s="29" t="inlineStr">
        <is>
          <t>A. KURIKULUM BULAN PER BULAN (12 BULAN)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8" t="n"/>
    </row>
    <row r="6" ht="26" customHeight="1">
      <c r="A6" s="152" t="inlineStr">
        <is>
          <t>Bulan</t>
        </is>
      </c>
      <c r="B6" s="153" t="inlineStr">
        <is>
          <t>Fokus Utama</t>
        </is>
      </c>
      <c r="C6" s="153" t="inlineStr">
        <is>
          <t>Paket C
(Akademik)</t>
        </is>
      </c>
      <c r="D6" s="153" t="inlineStr">
        <is>
          <t>Skill Kreatif</t>
        </is>
      </c>
      <c r="E6" s="153" t="inlineStr">
        <is>
          <t>Skill Digital</t>
        </is>
      </c>
      <c r="F6" s="153" t="inlineStr">
        <is>
          <t>Skill Pertanian</t>
        </is>
      </c>
      <c r="G6" s="153" t="inlineStr">
        <is>
          <t>Skill Ternak</t>
        </is>
      </c>
      <c r="H6" s="153" t="inlineStr">
        <is>
          <t>Psikologi</t>
        </is>
      </c>
      <c r="I6" s="153" t="inlineStr">
        <is>
          <t>Junior CEO</t>
        </is>
      </c>
      <c r="J6" s="153" t="inlineStr">
        <is>
          <t>Output / Target</t>
        </is>
      </c>
      <c r="K6" s="8" t="n"/>
      <c r="L6" s="8" t="n"/>
      <c r="M6" s="8" t="n"/>
      <c r="N6" s="10" t="n"/>
    </row>
    <row r="7" ht="24" customHeight="1">
      <c r="A7" s="154" t="inlineStr">
        <is>
          <t>Bln 1</t>
        </is>
      </c>
      <c r="B7" s="155" t="inlineStr">
        <is>
          <t>Orientasi &amp; Assessment</t>
        </is>
      </c>
      <c r="C7" s="156" t="inlineStr">
        <is>
          <t>Intro, tes kemampuan awal</t>
        </is>
      </c>
      <c r="D7" s="156" t="inlineStr">
        <is>
          <t>Kenalan &amp; ekspresi diri</t>
        </is>
      </c>
      <c r="E7" s="156" t="inlineStr">
        <is>
          <t>Intro komputer &amp; HP</t>
        </is>
      </c>
      <c r="F7" s="156" t="inlineStr">
        <is>
          <t>Mengenal lahan &amp; tanaman</t>
        </is>
      </c>
      <c r="G7" s="156" t="inlineStr">
        <is>
          <t>Mengenal ternak</t>
        </is>
      </c>
      <c r="H7" s="156" t="inlineStr">
        <is>
          <t>Sesi trauma-informed awal</t>
        </is>
      </c>
      <c r="I7" s="156" t="inlineStr">
        <is>
          <t>Mengenal uang &amp; bisnis</t>
        </is>
      </c>
      <c r="J7" s="157" t="inlineStr">
        <is>
          <t>Tes awal, rencana belajar</t>
        </is>
      </c>
      <c r="K7" s="14" t="n"/>
      <c r="L7" s="14" t="n"/>
      <c r="M7" s="14" t="n"/>
      <c r="N7" s="18" t="n"/>
    </row>
    <row r="8" ht="24" customHeight="1">
      <c r="A8" s="154" t="inlineStr">
        <is>
          <t>Bln 2</t>
        </is>
      </c>
      <c r="B8" s="131" t="inlineStr">
        <is>
          <t>Fondasi</t>
        </is>
      </c>
      <c r="C8" s="158" t="inlineStr">
        <is>
          <t>Matematika dasar, B. Indonesia</t>
        </is>
      </c>
      <c r="D8" s="158" t="inlineStr">
        <is>
          <t>Menggambar, kolase</t>
        </is>
      </c>
      <c r="E8" s="158" t="inlineStr">
        <is>
          <t>Mengetik, Google Drive</t>
        </is>
      </c>
      <c r="F8" s="158" t="inlineStr">
        <is>
          <t>Persiapan lahan, identifikasi tanaman</t>
        </is>
      </c>
      <c r="G8" s="158" t="inlineStr">
        <is>
          <t>Merawat kandang</t>
        </is>
      </c>
      <c r="H8" s="158" t="inlineStr">
        <is>
          <t>Membangun kepercayaan diri</t>
        </is>
      </c>
      <c r="I8" s="158" t="inlineStr">
        <is>
          <t>Hitung untung-rugi sederhana</t>
        </is>
      </c>
      <c r="J8" s="157" t="inlineStr">
        <is>
          <t>Bisa baca-tulis dasar</t>
        </is>
      </c>
      <c r="K8" s="14" t="n"/>
      <c r="L8" s="14" t="n"/>
      <c r="M8" s="14" t="n"/>
      <c r="N8" s="18" t="n"/>
    </row>
    <row r="9" ht="24" customHeight="1">
      <c r="A9" s="154" t="inlineStr">
        <is>
          <t>Bln 3</t>
        </is>
      </c>
      <c r="B9" s="155" t="inlineStr">
        <is>
          <t>Fondasi</t>
        </is>
      </c>
      <c r="C9" s="156" t="inlineStr">
        <is>
          <t>Matematika, membaca</t>
        </is>
      </c>
      <c r="D9" s="156" t="inlineStr">
        <is>
          <t>Kerajinan tangan</t>
        </is>
      </c>
      <c r="E9" s="156" t="inlineStr">
        <is>
          <t>Email, WhatsApp bisnis</t>
        </is>
      </c>
      <c r="F9" s="156" t="inlineStr">
        <is>
          <t>Menanam bibit pertama</t>
        </is>
      </c>
      <c r="G9" s="156" t="inlineStr">
        <is>
          <t>Pakan ternak rutin</t>
        </is>
      </c>
      <c r="H9" s="156" t="inlineStr">
        <is>
          <t>Target dan impian hidup</t>
        </is>
      </c>
      <c r="I9" s="156" t="inlineStr">
        <is>
          <t>Bikin anggaran sederhana</t>
        </is>
      </c>
      <c r="J9" s="157" t="inlineStr">
        <is>
          <t>Tanam pertama!</t>
        </is>
      </c>
      <c r="K9" s="14" t="n"/>
      <c r="L9" s="14" t="n"/>
      <c r="M9" s="14" t="n"/>
      <c r="N9" s="18" t="n"/>
    </row>
    <row r="10" ht="24" customHeight="1">
      <c r="A10" s="154" t="inlineStr">
        <is>
          <t>Bln 4</t>
        </is>
      </c>
      <c r="B10" s="131" t="inlineStr">
        <is>
          <t>Skill Building</t>
        </is>
      </c>
      <c r="C10" s="158" t="inlineStr">
        <is>
          <t>Paket C modul 1</t>
        </is>
      </c>
      <c r="D10" s="158" t="inlineStr">
        <is>
          <t>Jahit dasar</t>
        </is>
      </c>
      <c r="E10" s="158" t="inlineStr">
        <is>
          <t>Desain Canva</t>
        </is>
      </c>
      <c r="F10" s="158" t="inlineStr">
        <is>
          <t>Irigasi &amp; pupuk organik</t>
        </is>
      </c>
      <c r="G10" s="158" t="inlineStr">
        <is>
          <t>Kesehatan ternak</t>
        </is>
      </c>
      <c r="H10" s="158" t="inlineStr">
        <is>
          <t>Manajemen emosi</t>
        </is>
      </c>
      <c r="I10" s="158" t="inlineStr">
        <is>
          <t>Simulasi jual-beli kecil</t>
        </is>
      </c>
      <c r="J10" s="157" t="inlineStr">
        <is>
          <t>Jahit 1 produk</t>
        </is>
      </c>
      <c r="K10" s="14" t="n"/>
      <c r="L10" s="14" t="n"/>
      <c r="M10" s="14" t="n"/>
      <c r="N10" s="18" t="n"/>
    </row>
    <row r="11" ht="24" customHeight="1">
      <c r="A11" s="154" t="inlineStr">
        <is>
          <t>Bln 5</t>
        </is>
      </c>
      <c r="B11" s="155" t="inlineStr">
        <is>
          <t>Skill Building</t>
        </is>
      </c>
      <c r="C11" s="156" t="inlineStr">
        <is>
          <t>Paket C modul 1-2</t>
        </is>
      </c>
      <c r="D11" s="156" t="inlineStr">
        <is>
          <t>Jahit pola</t>
        </is>
      </c>
      <c r="E11" s="156" t="inlineStr">
        <is>
          <t>Medsos untuk bisnis</t>
        </is>
      </c>
      <c r="F11" s="156" t="inlineStr">
        <is>
          <t>Pestisida nabati</t>
        </is>
      </c>
      <c r="G11" s="156" t="inlineStr">
        <is>
          <t>Produksi telur/susu</t>
        </is>
      </c>
      <c r="H11" s="156" t="inlineStr">
        <is>
          <t>Resolusi konflik</t>
        </is>
      </c>
      <c r="I11" s="156" t="inlineStr">
        <is>
          <t>Pitch sederhana</t>
        </is>
      </c>
      <c r="J11" s="157" t="inlineStr">
        <is>
          <t>Punya produk pertama</t>
        </is>
      </c>
      <c r="K11" s="14" t="n"/>
      <c r="L11" s="14" t="n"/>
      <c r="M11" s="14" t="n"/>
      <c r="N11" s="18" t="n"/>
    </row>
    <row r="12" ht="24" customHeight="1">
      <c r="A12" s="154" t="inlineStr">
        <is>
          <t>Bln 6</t>
        </is>
      </c>
      <c r="B12" s="131" t="inlineStr">
        <is>
          <t>Skill Lanjut</t>
        </is>
      </c>
      <c r="C12" s="158" t="inlineStr">
        <is>
          <t>Paket C modul 2</t>
        </is>
      </c>
      <c r="D12" s="158" t="inlineStr">
        <is>
          <t>Produk jahit jadi</t>
        </is>
      </c>
      <c r="E12" s="158" t="inlineStr">
        <is>
          <t>Jualan online dasar</t>
        </is>
      </c>
      <c r="F12" s="158" t="inlineStr">
        <is>
          <t>Panen pertama sayur</t>
        </is>
      </c>
      <c r="G12" s="158" t="inlineStr">
        <is>
          <t>Ternak berkembang</t>
        </is>
      </c>
      <c r="H12" s="158" t="inlineStr">
        <is>
          <t>Kepemimpinan kelompok</t>
        </is>
      </c>
      <c r="I12" s="158" t="inlineStr">
        <is>
          <t>Hitung BEP produk</t>
        </is>
      </c>
      <c r="J12" s="157" t="inlineStr">
        <is>
          <t>Panen + jual produk</t>
        </is>
      </c>
      <c r="K12" s="14" t="n"/>
      <c r="L12" s="14" t="n"/>
      <c r="M12" s="14" t="n"/>
      <c r="N12" s="18" t="n"/>
    </row>
    <row r="13" ht="24" customHeight="1">
      <c r="A13" s="154" t="inlineStr">
        <is>
          <t>Bln 7</t>
        </is>
      </c>
      <c r="B13" s="155" t="inlineStr">
        <is>
          <t>Produksi</t>
        </is>
      </c>
      <c r="C13" s="156" t="inlineStr">
        <is>
          <t>Paket C modul 2-3</t>
        </is>
      </c>
      <c r="D13" s="156" t="inlineStr">
        <is>
          <t>Jahit pesanan</t>
        </is>
      </c>
      <c r="E13" s="156" t="inlineStr">
        <is>
          <t>Toko online aktif</t>
        </is>
      </c>
      <c r="F13" s="156" t="inlineStr">
        <is>
          <t>Perawatan rempah</t>
        </is>
      </c>
      <c r="G13" s="156" t="inlineStr">
        <is>
          <t>Produksi rutin</t>
        </is>
      </c>
      <c r="H13" s="156" t="inlineStr">
        <is>
          <t>Growth mindset</t>
        </is>
      </c>
      <c r="I13" s="156" t="inlineStr">
        <is>
          <t>Laporan keuangan mini</t>
        </is>
      </c>
      <c r="J13" s="157" t="inlineStr">
        <is>
          <t>Omzet pertama!</t>
        </is>
      </c>
      <c r="K13" s="14" t="n"/>
      <c r="L13" s="14" t="n"/>
      <c r="M13" s="14" t="n"/>
      <c r="N13" s="18" t="n"/>
    </row>
    <row r="14" ht="24" customHeight="1">
      <c r="A14" s="154" t="inlineStr">
        <is>
          <t>Bln 8</t>
        </is>
      </c>
      <c r="B14" s="131" t="inlineStr">
        <is>
          <t>Produksi</t>
        </is>
      </c>
      <c r="C14" s="158" t="inlineStr">
        <is>
          <t>Paket C modul 3</t>
        </is>
      </c>
      <c r="D14" s="158" t="inlineStr">
        <is>
          <t>Jahit lanjut</t>
        </is>
      </c>
      <c r="E14" s="158" t="inlineStr">
        <is>
          <t>Content creation</t>
        </is>
      </c>
      <c r="F14" s="158" t="inlineStr">
        <is>
          <t>Panen rempah awal</t>
        </is>
      </c>
      <c r="G14" s="158" t="inlineStr">
        <is>
          <t>Manajemen ternak</t>
        </is>
      </c>
      <c r="H14" s="158" t="inlineStr">
        <is>
          <t>Identitas &amp; nilai diri</t>
        </is>
      </c>
      <c r="I14" s="158" t="inlineStr">
        <is>
          <t>Presentasi bisnis ke tim</t>
        </is>
      </c>
      <c r="J14" s="157" t="inlineStr">
        <is>
          <t>Laporan perkembangan</t>
        </is>
      </c>
      <c r="K14" s="14" t="n"/>
      <c r="L14" s="14" t="n"/>
      <c r="M14" s="14" t="n"/>
      <c r="N14" s="18" t="n"/>
    </row>
    <row r="15" ht="24" customHeight="1">
      <c r="A15" s="154" t="inlineStr">
        <is>
          <t>Bln 9</t>
        </is>
      </c>
      <c r="B15" s="155" t="inlineStr">
        <is>
          <t>Mandiri</t>
        </is>
      </c>
      <c r="C15" s="156" t="inlineStr">
        <is>
          <t>Paket C modul 3-4</t>
        </is>
      </c>
      <c r="D15" s="156" t="inlineStr">
        <is>
          <t>Brand produk sendiri</t>
        </is>
      </c>
      <c r="E15" s="156" t="inlineStr">
        <is>
          <t>Digital marketing</t>
        </is>
      </c>
      <c r="F15" s="156" t="inlineStr">
        <is>
          <t>Tanam siklus ke-2</t>
        </is>
      </c>
      <c r="G15" s="156" t="inlineStr">
        <is>
          <t>Ternak mandiri</t>
        </is>
      </c>
      <c r="H15" s="156" t="inlineStr">
        <is>
          <t>Ketahanan mental</t>
        </is>
      </c>
      <c r="I15" s="156" t="inlineStr">
        <is>
          <t>Pitch ke donatur internal</t>
        </is>
      </c>
      <c r="J15" s="157" t="inlineStr">
        <is>
          <t>Bisa urus kebun sendiri</t>
        </is>
      </c>
      <c r="K15" s="14" t="n"/>
      <c r="L15" s="14" t="n"/>
      <c r="M15" s="14" t="n"/>
      <c r="N15" s="18" t="n"/>
    </row>
    <row r="16" ht="24" customHeight="1">
      <c r="A16" s="154" t="inlineStr">
        <is>
          <t>Bln 10</t>
        </is>
      </c>
      <c r="B16" s="131" t="inlineStr">
        <is>
          <t>Mandiri</t>
        </is>
      </c>
      <c r="C16" s="158" t="inlineStr">
        <is>
          <t>Paket C modul 4</t>
        </is>
      </c>
      <c r="D16" s="158" t="inlineStr">
        <is>
          <t>Penjualan konsisten</t>
        </is>
      </c>
      <c r="E16" s="158" t="inlineStr">
        <is>
          <t>SEO dasar</t>
        </is>
      </c>
      <c r="F16" s="158" t="inlineStr">
        <is>
          <t>Panen rempah ke-2</t>
        </is>
      </c>
      <c r="G16" s="158" t="inlineStr">
        <is>
          <t>Panen ternak</t>
        </is>
      </c>
      <c r="H16" s="158" t="inlineStr">
        <is>
          <t>Rasa syukur &amp; memberi</t>
        </is>
      </c>
      <c r="I16" s="158" t="inlineStr">
        <is>
          <t>Business plan 6 bulan</t>
        </is>
      </c>
      <c r="J16" s="157" t="inlineStr">
        <is>
          <t>Revenue dari 2+ sumber</t>
        </is>
      </c>
      <c r="K16" s="14" t="n"/>
      <c r="L16" s="14" t="n"/>
      <c r="M16" s="14" t="n"/>
      <c r="N16" s="18" t="n"/>
    </row>
    <row r="17" ht="24" customHeight="1">
      <c r="A17" s="154" t="inlineStr">
        <is>
          <t>Bln 11</t>
        </is>
      </c>
      <c r="B17" s="155" t="inlineStr">
        <is>
          <t>Persiapan Lulus</t>
        </is>
      </c>
      <c r="C17" s="156" t="inlineStr">
        <is>
          <t>Paket C ujian</t>
        </is>
      </c>
      <c r="D17" s="156" t="inlineStr">
        <is>
          <t>Portfolio produk</t>
        </is>
      </c>
      <c r="E17" s="156" t="inlineStr">
        <is>
          <t>Website sederhana</t>
        </is>
      </c>
      <c r="F17" s="156" t="inlineStr">
        <is>
          <t>Logbook mandiri</t>
        </is>
      </c>
      <c r="G17" s="156" t="inlineStr">
        <is>
          <t>Ternak menghasilkan</t>
        </is>
      </c>
      <c r="H17" s="156" t="inlineStr">
        <is>
          <t>Rencana masa depan</t>
        </is>
      </c>
      <c r="I17" s="156" t="inlineStr">
        <is>
          <t>Presentasi ke investor</t>
        </is>
      </c>
      <c r="J17" s="157" t="inlineStr">
        <is>
          <t>Siap ujian Paket C</t>
        </is>
      </c>
      <c r="K17" s="14" t="n"/>
      <c r="L17" s="14" t="n"/>
      <c r="M17" s="14" t="n"/>
      <c r="N17" s="18" t="n"/>
    </row>
    <row r="18" ht="24" customHeight="1">
      <c r="A18" s="154" t="inlineStr">
        <is>
          <t>Bln 12</t>
        </is>
      </c>
      <c r="B18" s="131" t="inlineStr">
        <is>
          <t>Kelulusan</t>
        </is>
      </c>
      <c r="C18" s="158" t="inlineStr">
        <is>
          <t>Ujian Paket C setara SMA</t>
        </is>
      </c>
      <c r="D18" s="158" t="inlineStr">
        <is>
          <t>Demo day produk</t>
        </is>
      </c>
      <c r="E18" s="158" t="inlineStr">
        <is>
          <t>Portofolio digital</t>
        </is>
      </c>
      <c r="F18" s="158" t="inlineStr">
        <is>
          <t>Sertifikasi organik</t>
        </is>
      </c>
      <c r="G18" s="158" t="inlineStr">
        <is>
          <t>Sertifikat peternakan</t>
        </is>
      </c>
      <c r="H18" s="158" t="inlineStr">
        <is>
          <t>Graduation &amp; harapan</t>
        </is>
      </c>
      <c r="I18" s="158" t="inlineStr">
        <is>
          <t>Final pitch hari kelulusan</t>
        </is>
      </c>
      <c r="J18" s="157" t="inlineStr">
        <is>
          <t>LULUS + siap mandiri!</t>
        </is>
      </c>
      <c r="K18" s="14" t="n"/>
      <c r="L18" s="14" t="n"/>
      <c r="M18" s="14" t="n"/>
      <c r="N18" s="18" t="n"/>
    </row>
    <row r="21" ht="22" customHeight="1">
      <c r="A21" s="29" t="inlineStr">
        <is>
          <t>B. JALUR ALUMNI — SETELAH LULUS DARI NAWA CAHAYA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8" t="n"/>
    </row>
    <row r="22" ht="22" customHeight="1">
      <c r="A22" s="33" t="inlineStr">
        <is>
          <t xml:space="preserve">  Setiap anak punya 3 pilihan jalur. Yayasan mendampingi 1 tahun setelah kelulusan (after-care program).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8" t="n"/>
    </row>
    <row r="23" ht="22" customHeight="1">
      <c r="A23" s="6" t="inlineStr">
        <is>
          <t>Jalur</t>
        </is>
      </c>
      <c r="B23" s="9" t="inlineStr">
        <is>
          <t>Deskripsi</t>
        </is>
      </c>
      <c r="C23" s="9" t="inlineStr">
        <is>
          <t>Syarat</t>
        </is>
      </c>
      <c r="D23" s="9" t="inlineStr">
        <is>
          <t>Support dari Yayasan</t>
        </is>
      </c>
      <c r="E23" s="9" t="inlineStr">
        <is>
          <t>Partner Eksternal</t>
        </is>
      </c>
      <c r="F23" s="9" t="inlineStr">
        <is>
          <t>Target % Alumni</t>
        </is>
      </c>
      <c r="G23" s="8" t="n"/>
      <c r="H23" s="8" t="n"/>
      <c r="I23" s="8" t="n"/>
      <c r="J23" s="8" t="n"/>
      <c r="K23" s="8" t="n"/>
      <c r="L23" s="8" t="n"/>
      <c r="M23" s="8" t="n"/>
      <c r="N23" s="10" t="n"/>
    </row>
    <row r="24" ht="28" customHeight="1">
      <c r="A24" s="159" t="inlineStr">
        <is>
          <t>🎓 Lanjut Kuliah</t>
        </is>
      </c>
      <c r="B24" s="108" t="inlineStr">
        <is>
          <t>Daftar ke universitas / vokasi</t>
        </is>
      </c>
      <c r="C24" s="160" t="inlineStr">
        <is>
          <t>Nilai Paket C ≥ 75</t>
        </is>
      </c>
      <c r="D24" s="160" t="inlineStr">
        <is>
          <t>Rekomendasi + dana beasiswa</t>
        </is>
      </c>
      <c r="E24" s="160" t="inlineStr">
        <is>
          <t>Universitas partner, Beasiswa Pemda</t>
        </is>
      </c>
      <c r="F24" s="31" t="inlineStr">
        <is>
          <t>← TARGET %</t>
        </is>
      </c>
      <c r="G24" s="14" t="n"/>
      <c r="H24" s="14" t="n"/>
      <c r="I24" s="14" t="n"/>
      <c r="J24" s="14" t="n"/>
      <c r="K24" s="14" t="n"/>
      <c r="L24" s="14" t="n"/>
      <c r="M24" s="14" t="n"/>
      <c r="N24" s="18" t="n"/>
    </row>
    <row r="25" ht="28" customHeight="1">
      <c r="A25" s="161" t="inlineStr">
        <is>
          <t>💼 Kerja di Perusahaan</t>
        </is>
      </c>
      <c r="B25" s="162" t="inlineStr">
        <is>
          <t>Disalurkan ke mitra perusahaan</t>
        </is>
      </c>
      <c r="C25" s="163" t="inlineStr">
        <is>
          <t>Punya 1+ sertifikasi skill</t>
        </is>
      </c>
      <c r="D25" s="163" t="inlineStr">
        <is>
          <t>Job fair + surat rekomendasi</t>
        </is>
      </c>
      <c r="E25" s="163" t="inlineStr">
        <is>
          <t>Perusahaan CSR partner</t>
        </is>
      </c>
      <c r="F25" s="31" t="inlineStr">
        <is>
          <t>← TARGET %</t>
        </is>
      </c>
      <c r="G25" s="14" t="n"/>
      <c r="H25" s="14" t="n"/>
      <c r="I25" s="14" t="n"/>
      <c r="J25" s="14" t="n"/>
      <c r="K25" s="14" t="n"/>
      <c r="L25" s="14" t="n"/>
      <c r="M25" s="14" t="n"/>
      <c r="N25" s="18" t="n"/>
    </row>
    <row r="26" ht="28" customHeight="1">
      <c r="A26" s="164" t="inlineStr">
        <is>
          <t>🌱 UMKM / Usaha Sendiri</t>
        </is>
      </c>
      <c r="B26" s="111" t="inlineStr">
        <is>
          <t>Buka usaha dari skill yang dikuasai</t>
        </is>
      </c>
      <c r="C26" s="165" t="inlineStr">
        <is>
          <t>Punya business plan + modal awal</t>
        </is>
      </c>
      <c r="D26" s="165" t="inlineStr">
        <is>
          <t>Modal usaha awal Rp 2–5 Jt</t>
        </is>
      </c>
      <c r="E26" s="165" t="inlineStr">
        <is>
          <t>Inkubator UMKM, bank BRI/BSI</t>
        </is>
      </c>
      <c r="F26" s="31" t="inlineStr">
        <is>
          <t>← TARGET %</t>
        </is>
      </c>
      <c r="G26" s="14" t="n"/>
      <c r="H26" s="14" t="n"/>
      <c r="I26" s="14" t="n"/>
      <c r="J26" s="14" t="n"/>
      <c r="K26" s="14" t="n"/>
      <c r="L26" s="14" t="n"/>
      <c r="M26" s="14" t="n"/>
      <c r="N26" s="18" t="n"/>
    </row>
    <row r="27" ht="28" customHeight="1">
      <c r="A27" s="166" t="inlineStr">
        <is>
          <t>🔄 Balik ke Yayasan</t>
        </is>
      </c>
      <c r="B27" s="167" t="inlineStr">
        <is>
          <t>Jadi relawan/mentor untuk adik binaan</t>
        </is>
      </c>
      <c r="C27" s="158" t="inlineStr">
        <is>
          <t>Komitmen minimal 6 bulan</t>
        </is>
      </c>
      <c r="D27" s="158" t="inlineStr">
        <is>
          <t>Honorarium + sertifikasi mentor</t>
        </is>
      </c>
      <c r="E27" s="158" t="inlineStr">
        <is>
          <t>Internal Nawa Cahaya</t>
        </is>
      </c>
      <c r="F27" s="31" t="inlineStr">
        <is>
          <t>← TARGET %</t>
        </is>
      </c>
      <c r="G27" s="14" t="n"/>
      <c r="H27" s="14" t="n"/>
      <c r="I27" s="14" t="n"/>
      <c r="J27" s="14" t="n"/>
      <c r="K27" s="14" t="n"/>
      <c r="L27" s="14" t="n"/>
      <c r="M27" s="14" t="n"/>
      <c r="N27" s="18" t="n"/>
    </row>
  </sheetData>
  <mergeCells count="24">
    <mergeCell ref="J17:N17"/>
    <mergeCell ref="J14:N14"/>
    <mergeCell ref="J10:N10"/>
    <mergeCell ref="F26:N26"/>
    <mergeCell ref="J13:N13"/>
    <mergeCell ref="A1:N1"/>
    <mergeCell ref="J9:N9"/>
    <mergeCell ref="F23:N23"/>
    <mergeCell ref="J15:N15"/>
    <mergeCell ref="J6:N6"/>
    <mergeCell ref="F27:N27"/>
    <mergeCell ref="A3:N3"/>
    <mergeCell ref="J11:N11"/>
    <mergeCell ref="J7:N7"/>
    <mergeCell ref="A21:N21"/>
    <mergeCell ref="A2:N2"/>
    <mergeCell ref="J16:N16"/>
    <mergeCell ref="A5:N5"/>
    <mergeCell ref="A22:N22"/>
    <mergeCell ref="F25:N25"/>
    <mergeCell ref="J12:N12"/>
    <mergeCell ref="J18:N18"/>
    <mergeCell ref="J8:N8"/>
    <mergeCell ref="F24:N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9" customWidth="1" min="4" max="4"/>
    <col width="15" customWidth="1" min="5" max="5"/>
    <col width="15" customWidth="1" min="6" max="6"/>
    <col width="8" customWidth="1" min="7" max="7"/>
    <col width="16" customWidth="1" min="8" max="8"/>
    <col width="8" customWidth="1" min="9" max="9"/>
    <col width="8" customWidth="1" min="10" max="10"/>
  </cols>
  <sheetData>
    <row r="1" ht="50" customHeight="1">
      <c r="A1" s="168" t="inlineStr">
        <is>
          <t>🚀 RAB FASE 0–1 — NAWA CAHAYA SKALA KECIL</t>
        </is>
      </c>
    </row>
    <row r="2" ht="20" customHeight="1">
      <c r="A2" s="169" t="inlineStr">
        <is>
          <t>Kapasitas: 10–20 Anak Binaan  ·  Lahan: 1.000 m²  ·  Ternak: 2 Pasang (Sapi/Kambing/Ayam)  ·  Mulai bisa jalan!</t>
        </is>
      </c>
    </row>
    <row r="3" ht="28" customHeight="1">
      <c r="A3" s="170" t="inlineStr">
        <is>
          <t xml:space="preserve">  💡 Ini adalah paket MINIMUM VIABLE — cukup untuk operasional hari pertama. Bangunan sederhana (bambu+triplek OK), kebun mulai 1.000m², ternak 2 pasang. Setelah jalan, upgrade bertahap dari hasil kebun &amp; donasi masuk.</t>
        </is>
      </c>
      <c r="B3" s="171" t="n"/>
      <c r="C3" s="171" t="n"/>
      <c r="D3" s="171" t="n"/>
      <c r="E3" s="171" t="n"/>
      <c r="F3" s="171" t="n"/>
      <c r="G3" s="171" t="n"/>
      <c r="H3" s="171" t="n"/>
      <c r="I3" s="171" t="n"/>
      <c r="J3" s="172" t="n"/>
    </row>
    <row r="4"/>
    <row r="5" ht="22" customHeight="1">
      <c r="A5" s="173" t="inlineStr">
        <is>
          <t xml:space="preserve">  A. BANGUNAN &amp; TEMPAT TINGGAL SEMENTARA (Semi-Permanen, Bisa Upgrade)</t>
        </is>
      </c>
      <c r="B5" s="171" t="n"/>
      <c r="C5" s="171" t="n"/>
      <c r="D5" s="171" t="n"/>
      <c r="E5" s="171" t="n"/>
      <c r="F5" s="171" t="n"/>
      <c r="G5" s="171" t="n"/>
      <c r="H5" s="171" t="n"/>
      <c r="I5" s="171" t="n"/>
      <c r="J5" s="172" t="n"/>
    </row>
    <row r="6" ht="26" customHeight="1">
      <c r="A6" s="174" t="inlineStr">
        <is>
          <t>No</t>
        </is>
      </c>
      <c r="B6" s="175" t="inlineStr">
        <is>
          <t>Uraian Kebutuhan</t>
        </is>
      </c>
      <c r="C6" s="176" t="inlineStr">
        <is>
          <t>Vol</t>
        </is>
      </c>
      <c r="D6" s="176" t="inlineStr">
        <is>
          <t>Sat</t>
        </is>
      </c>
      <c r="E6" s="176" t="inlineStr">
        <is>
          <t>Harga Sat (Rp)</t>
        </is>
      </c>
      <c r="F6" s="176" t="inlineStr">
        <is>
          <t>Total (Rp)</t>
        </is>
      </c>
      <c r="G6" s="176" t="inlineStr">
        <is>
          <t>Prioritas</t>
        </is>
      </c>
      <c r="H6" s="177" t="inlineStr">
        <is>
          <t>Catatan / Tips Hemat</t>
        </is>
      </c>
      <c r="I6" s="178" t="n"/>
      <c r="J6" s="179" t="n"/>
    </row>
    <row r="7" ht="18" customHeight="1">
      <c r="A7" s="180" t="n">
        <v>1</v>
      </c>
      <c r="B7" s="181" t="inlineStr">
        <is>
          <t>Kamar tidur anak (10–20 org) — rangka bambu + triplek + atap spandek</t>
        </is>
      </c>
      <c r="C7" s="182" t="n">
        <v>1</v>
      </c>
      <c r="D7" s="180" t="inlineStr">
        <is>
          <t>paket</t>
        </is>
      </c>
      <c r="E7" s="183" t="n">
        <v>18000000</v>
      </c>
      <c r="F7" s="184" t="n">
        <v>18000000</v>
      </c>
      <c r="G7" s="185" t="inlineStr">
        <is>
          <t>★★★</t>
        </is>
      </c>
      <c r="H7" s="186" t="inlineStr">
        <is>
          <t>8×6m cukup 15 org. Bambu lokal murah. Upgrade ke bata setelah Fase 2. Estimasi harga bahan lokal Bogor</t>
        </is>
      </c>
      <c r="I7" s="171" t="n"/>
      <c r="J7" s="172" t="n"/>
    </row>
    <row r="8" ht="18" customHeight="1">
      <c r="A8" s="187" t="n">
        <v>2</v>
      </c>
      <c r="B8" s="188" t="inlineStr">
        <is>
          <t>Ruang belajar multifungsi (juga jadi aula &amp; ruang makan)</t>
        </is>
      </c>
      <c r="C8" s="189" t="n">
        <v>1</v>
      </c>
      <c r="D8" s="187" t="inlineStr">
        <is>
          <t>paket</t>
        </is>
      </c>
      <c r="E8" s="183" t="n">
        <v>12000000</v>
      </c>
      <c r="F8" s="184" t="n">
        <v>12000000</v>
      </c>
      <c r="G8" s="185" t="inlineStr">
        <is>
          <t>★★★</t>
        </is>
      </c>
      <c r="H8" s="190" t="inlineStr">
        <is>
          <t>6×8m, bisa bambu juga. Papan tulis + kursi lipat dulu. Hemat: cari kursi bekas sekolah</t>
        </is>
      </c>
      <c r="I8" s="171" t="n"/>
      <c r="J8" s="172" t="n"/>
    </row>
    <row r="9" ht="18" customHeight="1">
      <c r="A9" s="180" t="n">
        <v>3</v>
      </c>
      <c r="B9" s="181" t="inlineStr">
        <is>
          <t>Toilet &amp; kamar mandi (3 bilik minimum)</t>
        </is>
      </c>
      <c r="C9" s="182" t="n">
        <v>3</v>
      </c>
      <c r="D9" s="180" t="inlineStr">
        <is>
          <t>unit</t>
        </is>
      </c>
      <c r="E9" s="183" t="n">
        <v>3500000</v>
      </c>
      <c r="F9" s="184" t="n">
        <v>10500000</v>
      </c>
      <c r="G9" s="185" t="inlineStr">
        <is>
          <t>★★★</t>
        </is>
      </c>
      <c r="H9" s="186" t="inlineStr">
        <is>
          <t>Septik tank sederhana. Wajib sebelum anak binaan masuk</t>
        </is>
      </c>
      <c r="I9" s="171" t="n"/>
      <c r="J9" s="172" t="n"/>
    </row>
    <row r="10" ht="18" customHeight="1">
      <c r="A10" s="187" t="n">
        <v>4</v>
      </c>
      <c r="B10" s="188" t="inlineStr">
        <is>
          <t>Dapur sederhana (semi-outdoor)</t>
        </is>
      </c>
      <c r="C10" s="189" t="n">
        <v>1</v>
      </c>
      <c r="D10" s="187" t="inlineStr">
        <is>
          <t>paket</t>
        </is>
      </c>
      <c r="E10" s="183" t="n">
        <v>4000000</v>
      </c>
      <c r="F10" s="184" t="n">
        <v>4000000</v>
      </c>
      <c r="G10" s="185" t="inlineStr">
        <is>
          <t>★★★</t>
        </is>
      </c>
      <c r="H10" s="190" t="inlineStr">
        <is>
          <t>Atap + pondasi bata sekeliling. Kompor &amp; peralatan di bagian E</t>
        </is>
      </c>
      <c r="I10" s="171" t="n"/>
      <c r="J10" s="172" t="n"/>
    </row>
    <row r="11" ht="18" customHeight="1">
      <c r="A11" s="180" t="n">
        <v>5</v>
      </c>
      <c r="B11" s="181" t="inlineStr">
        <is>
          <t>Instalasi listrik dasar (PLN sambungan baru 1.300VA)</t>
        </is>
      </c>
      <c r="C11" s="182" t="n">
        <v>1</v>
      </c>
      <c r="D11" s="180" t="inlineStr">
        <is>
          <t>paket</t>
        </is>
      </c>
      <c r="E11" s="183" t="n">
        <v>3500000</v>
      </c>
      <c r="F11" s="184" t="n">
        <v>3500000</v>
      </c>
      <c r="G11" s="185" t="inlineStr">
        <is>
          <t>★★★</t>
        </is>
      </c>
      <c r="H11" s="186" t="inlineStr">
        <is>
          <t>Atau solar panel mini 200W untuk awal. Cek program subsidi PLN pedesaan</t>
        </is>
      </c>
      <c r="I11" s="171" t="n"/>
      <c r="J11" s="172" t="n"/>
    </row>
    <row r="12" ht="18" customHeight="1">
      <c r="A12" s="187" t="n">
        <v>6</v>
      </c>
      <c r="B12" s="188" t="inlineStr">
        <is>
          <t>Instalasi air (sambung PDAM atau sumur bor)</t>
        </is>
      </c>
      <c r="C12" s="189" t="n">
        <v>1</v>
      </c>
      <c r="D12" s="187" t="inlineStr">
        <is>
          <t>paket</t>
        </is>
      </c>
      <c r="E12" s="183" t="n">
        <v>5000000</v>
      </c>
      <c r="F12" s="184" t="n">
        <v>5000000</v>
      </c>
      <c r="G12" s="185" t="inlineStr">
        <is>
          <t>★★★</t>
        </is>
      </c>
      <c r="H12" s="190" t="inlineStr">
        <is>
          <t>Sumur bor lebih murah jangka panjang. Tanah Bogor biasanya air &lt;20m</t>
        </is>
      </c>
      <c r="I12" s="171" t="n"/>
      <c r="J12" s="172" t="n"/>
    </row>
    <row r="13" ht="18" customHeight="1">
      <c r="A13" s="180" t="n">
        <v>7</v>
      </c>
      <c r="B13" s="181" t="inlineStr">
        <is>
          <t>Pagar keliling sederhana (bambu/kawat berduri)</t>
        </is>
      </c>
      <c r="C13" s="182" t="n">
        <v>1</v>
      </c>
      <c r="D13" s="180" t="inlineStr">
        <is>
          <t>paket</t>
        </is>
      </c>
      <c r="E13" s="183" t="n">
        <v>3500000</v>
      </c>
      <c r="F13" s="184" t="n">
        <v>3500000</v>
      </c>
      <c r="G13" s="191" t="inlineStr">
        <is>
          <t>★★</t>
        </is>
      </c>
      <c r="H13" s="186" t="inlineStr">
        <is>
          <t>Keamanan &amp; batas area. Bisa bertahap mulai sisi utama saja</t>
        </is>
      </c>
      <c r="I13" s="171" t="n"/>
      <c r="J13" s="172" t="n"/>
    </row>
    <row r="14" ht="20" customHeight="1">
      <c r="A14" s="192" t="inlineStr">
        <is>
          <t xml:space="preserve">  ▶ SUBTOTAL: BANGUNAN SEMENTARA</t>
        </is>
      </c>
      <c r="B14" s="178" t="n"/>
      <c r="C14" s="178" t="n"/>
      <c r="D14" s="178" t="n"/>
      <c r="E14" s="178" t="n"/>
      <c r="F14" s="193" t="n">
        <v>56500000</v>
      </c>
      <c r="G14" s="194" t="n"/>
      <c r="H14" s="178" t="n"/>
      <c r="I14" s="178" t="n"/>
      <c r="J14" s="179" t="n"/>
    </row>
    <row r="15"/>
    <row r="16" ht="22" customHeight="1">
      <c r="A16" s="173" t="inlineStr">
        <is>
          <t xml:space="preserve">  B. KEBUN PERTAMA 1.000 m² (Campuran: Sereh + Jahe + Sayur)</t>
        </is>
      </c>
      <c r="B16" s="171" t="n"/>
      <c r="C16" s="171" t="n"/>
      <c r="D16" s="171" t="n"/>
      <c r="E16" s="171" t="n"/>
      <c r="F16" s="171" t="n"/>
      <c r="G16" s="171" t="n"/>
      <c r="H16" s="171" t="n"/>
      <c r="I16" s="171" t="n"/>
      <c r="J16" s="172" t="n"/>
    </row>
    <row r="17" ht="26" customHeight="1">
      <c r="A17" s="174" t="inlineStr">
        <is>
          <t>No</t>
        </is>
      </c>
      <c r="B17" s="175" t="inlineStr">
        <is>
          <t>Uraian Kebutuhan</t>
        </is>
      </c>
      <c r="C17" s="176" t="inlineStr">
        <is>
          <t>Vol</t>
        </is>
      </c>
      <c r="D17" s="176" t="inlineStr">
        <is>
          <t>Sat</t>
        </is>
      </c>
      <c r="E17" s="176" t="inlineStr">
        <is>
          <t>Harga Sat (Rp)</t>
        </is>
      </c>
      <c r="F17" s="176" t="inlineStr">
        <is>
          <t>Total (Rp)</t>
        </is>
      </c>
      <c r="G17" s="176" t="inlineStr">
        <is>
          <t>Prioritas</t>
        </is>
      </c>
      <c r="H17" s="177" t="inlineStr">
        <is>
          <t>Catatan / Tips Hemat</t>
        </is>
      </c>
      <c r="I17" s="178" t="n"/>
      <c r="J17" s="179" t="n"/>
    </row>
    <row r="18" ht="18" customHeight="1">
      <c r="A18" s="180" t="n">
        <v>1</v>
      </c>
      <c r="B18" s="181" t="inlineStr">
        <is>
          <t>Pengolahan &amp; persiapan lahan 1.000m²</t>
        </is>
      </c>
      <c r="C18" s="182" t="n">
        <v>1000</v>
      </c>
      <c r="D18" s="180" t="inlineStr">
        <is>
          <t>m²</t>
        </is>
      </c>
      <c r="E18" s="183" t="n">
        <v>1300</v>
      </c>
      <c r="F18" s="184" t="n">
        <v>1300000</v>
      </c>
      <c r="G18" s="185" t="inlineStr">
        <is>
          <t>★★★</t>
        </is>
      </c>
      <c r="H18" s="186" t="inlineStr">
        <is>
          <t>Bajak 1× + bedengan. Lebih murah dari 1 ha karena skala kecil</t>
        </is>
      </c>
      <c r="I18" s="171" t="n"/>
      <c r="J18" s="172" t="n"/>
    </row>
    <row r="19" ht="18" customHeight="1">
      <c r="A19" s="187" t="n">
        <v>2</v>
      </c>
      <c r="B19" s="188" t="inlineStr">
        <is>
          <t>Bibit sereh wangi (2.000 rumpun × 500m²)</t>
        </is>
      </c>
      <c r="C19" s="189" t="n">
        <v>2000</v>
      </c>
      <c r="D19" s="187" t="inlineStr">
        <is>
          <t>rumpun</t>
        </is>
      </c>
      <c r="E19" s="183" t="n">
        <v>500</v>
      </c>
      <c r="F19" s="184" t="n">
        <v>1000000</v>
      </c>
      <c r="G19" s="185" t="inlineStr">
        <is>
          <t>★★★</t>
        </is>
      </c>
      <c r="H19" s="190" t="inlineStr">
        <is>
          <t>Perennial 5 tahun! Tanam sekali panen terus. Paling ROI-friendly untuk mulai</t>
        </is>
      </c>
      <c r="I19" s="171" t="n"/>
      <c r="J19" s="172" t="n"/>
    </row>
    <row r="20" ht="18" customHeight="1">
      <c r="A20" s="180" t="n">
        <v>3</v>
      </c>
      <c r="B20" s="181" t="inlineStr">
        <is>
          <t>Bibit jahe merah (4.000 bibit × 250m²)</t>
        </is>
      </c>
      <c r="C20" s="182" t="n">
        <v>4000</v>
      </c>
      <c r="D20" s="180" t="inlineStr">
        <is>
          <t>bibit</t>
        </is>
      </c>
      <c r="E20" s="183" t="n">
        <v>2500</v>
      </c>
      <c r="F20" s="184" t="n">
        <v>10000000</v>
      </c>
      <c r="G20" s="185" t="inlineStr">
        <is>
          <t>★★★</t>
        </is>
      </c>
      <c r="H20" s="186" t="inlineStr">
        <is>
          <t>250m² = 4.000 bibit. Skala kecil tapi harga ekspor Rp 80.000/kg tetap berlaku</t>
        </is>
      </c>
      <c r="I20" s="171" t="n"/>
      <c r="J20" s="172" t="n"/>
    </row>
    <row r="21" ht="18" customHeight="1">
      <c r="A21" s="187" t="n">
        <v>4</v>
      </c>
      <c r="B21" s="188" t="inlineStr">
        <is>
          <t>Bibit sayur campuran (kangkung, bayam, pakcoy, tomat)</t>
        </is>
      </c>
      <c r="C21" s="189" t="n">
        <v>1</v>
      </c>
      <c r="D21" s="187" t="inlineStr">
        <is>
          <t>paket</t>
        </is>
      </c>
      <c r="E21" s="183" t="n">
        <v>500000</v>
      </c>
      <c r="F21" s="184" t="n">
        <v>500000</v>
      </c>
      <c r="G21" s="185" t="inlineStr">
        <is>
          <t>★★★</t>
        </is>
      </c>
      <c r="H21" s="190" t="inlineStr">
        <is>
          <t>Benih sayur murah. 250m² cukup untuk kebutuhan dapur yayasan + surplus kecil</t>
        </is>
      </c>
      <c r="I21" s="171" t="n"/>
      <c r="J21" s="172" t="n"/>
    </row>
    <row r="22" ht="18" customHeight="1">
      <c r="A22" s="180" t="n">
        <v>5</v>
      </c>
      <c r="B22" s="181" t="inlineStr">
        <is>
          <t>Mulsa plastik HPP 1.000m²</t>
        </is>
      </c>
      <c r="C22" s="182" t="n">
        <v>10</v>
      </c>
      <c r="D22" s="180" t="inlineStr">
        <is>
          <t>roll</t>
        </is>
      </c>
      <c r="E22" s="183" t="n">
        <v>60000</v>
      </c>
      <c r="F22" s="184" t="n">
        <v>600000</v>
      </c>
      <c r="G22" s="185" t="inlineStr">
        <is>
          <t>★★★</t>
        </is>
      </c>
      <c r="H22" s="186" t="inlineStr">
        <is>
          <t>Wajib! Kendalikan gulma. 10 roll = 1.000m²</t>
        </is>
      </c>
      <c r="I22" s="171" t="n"/>
      <c r="J22" s="172" t="n"/>
    </row>
    <row r="23" ht="18" customHeight="1">
      <c r="A23" s="187" t="n">
        <v>6</v>
      </c>
      <c r="B23" s="188" t="inlineStr">
        <is>
          <t>Pupuk kandang 2 ton (dari ternak sendiri Fase 1+)</t>
        </is>
      </c>
      <c r="C23" s="189" t="n">
        <v>2000</v>
      </c>
      <c r="D23" s="187" t="inlineStr">
        <is>
          <t>kg</t>
        </is>
      </c>
      <c r="E23" s="183" t="n">
        <v>300</v>
      </c>
      <c r="F23" s="184" t="n">
        <v>600000</v>
      </c>
      <c r="G23" s="185" t="inlineStr">
        <is>
          <t>★★★</t>
        </is>
      </c>
      <c r="H23" s="190" t="inlineStr">
        <is>
          <t>Gratis dari ternak nanti! Fase awal beli dulu dari peternak sekitar</t>
        </is>
      </c>
      <c r="I23" s="171" t="n"/>
      <c r="J23" s="172" t="n"/>
    </row>
    <row r="24" ht="18" customHeight="1">
      <c r="A24" s="180" t="n">
        <v>7</v>
      </c>
      <c r="B24" s="181" t="inlineStr">
        <is>
          <t>NPK, SP36, pupuk susulan (paket awal)</t>
        </is>
      </c>
      <c r="C24" s="182" t="n">
        <v>1</v>
      </c>
      <c r="D24" s="180" t="inlineStr">
        <is>
          <t>paket</t>
        </is>
      </c>
      <c r="E24" s="183" t="n">
        <v>1500000</v>
      </c>
      <c r="F24" s="184" t="n">
        <v>1500000</v>
      </c>
      <c r="G24" s="185" t="inlineStr">
        <is>
          <t>★★★</t>
        </is>
      </c>
      <c r="H24" s="186" t="inlineStr">
        <is>
          <t>Cukup untuk 1 musim tanam. Restock dari hasil panen pertama</t>
        </is>
      </c>
      <c r="I24" s="171" t="n"/>
      <c r="J24" s="172" t="n"/>
    </row>
    <row r="25" ht="18" customHeight="1">
      <c r="A25" s="187" t="n">
        <v>8</v>
      </c>
      <c r="B25" s="188" t="inlineStr">
        <is>
          <t>Instalasi irigasi sederhana (dari titik air ke kebun)</t>
        </is>
      </c>
      <c r="C25" s="189" t="n">
        <v>1</v>
      </c>
      <c r="D25" s="187" t="inlineStr">
        <is>
          <t>paket</t>
        </is>
      </c>
      <c r="E25" s="183" t="n">
        <v>3500000</v>
      </c>
      <c r="F25" s="184" t="n">
        <v>3500000</v>
      </c>
      <c r="G25" s="185" t="inlineStr">
        <is>
          <t>★★★</t>
        </is>
      </c>
      <c r="H25" s="190" t="inlineStr">
        <is>
          <t>Tandon 1.000L + selang + drip sederhana. Bisa manual awal, upgrade ke otomatis</t>
        </is>
      </c>
      <c r="I25" s="171" t="n"/>
      <c r="J25" s="172" t="n"/>
    </row>
    <row r="26" ht="18" customHeight="1">
      <c r="A26" s="180" t="n">
        <v>9</v>
      </c>
      <c r="B26" s="181" t="inlineStr">
        <is>
          <t>Alat kebun dasar (cangkul, sekop, sprayer)</t>
        </is>
      </c>
      <c r="C26" s="182" t="n">
        <v>1</v>
      </c>
      <c r="D26" s="180" t="inlineStr">
        <is>
          <t>paket</t>
        </is>
      </c>
      <c r="E26" s="183" t="n">
        <v>1200000</v>
      </c>
      <c r="F26" s="184" t="n">
        <v>1200000</v>
      </c>
      <c r="G26" s="185" t="inlineStr">
        <is>
          <t>★★★</t>
        </is>
      </c>
      <c r="H26" s="186" t="inlineStr">
        <is>
          <t>4 set cangkul+sekop + 2 sprayer 16L. Cukup untuk 4 pekerja</t>
        </is>
      </c>
      <c r="I26" s="171" t="n"/>
      <c r="J26" s="172" t="n"/>
    </row>
    <row r="27" ht="20" customHeight="1">
      <c r="A27" s="192" t="inlineStr">
        <is>
          <t xml:space="preserve">  ▶ SUBTOTAL: KEBUN 1.000 m²</t>
        </is>
      </c>
      <c r="B27" s="178" t="n"/>
      <c r="C27" s="178" t="n"/>
      <c r="D27" s="178" t="n"/>
      <c r="E27" s="178" t="n"/>
      <c r="F27" s="193" t="n">
        <v>20200000</v>
      </c>
      <c r="G27" s="194" t="n"/>
      <c r="H27" s="178" t="n"/>
      <c r="I27" s="178" t="n"/>
      <c r="J27" s="179" t="n"/>
    </row>
    <row r="28"/>
    <row r="29" ht="22" customHeight="1">
      <c r="A29" s="173" t="inlineStr">
        <is>
          <t xml:space="preserve">  C. TERNAK 2 PASANG (Pilih: Sapi / Kambing / Ayam Petelur)</t>
        </is>
      </c>
      <c r="B29" s="171" t="n"/>
      <c r="C29" s="171" t="n"/>
      <c r="D29" s="171" t="n"/>
      <c r="E29" s="171" t="n"/>
      <c r="F29" s="171" t="n"/>
      <c r="G29" s="171" t="n"/>
      <c r="H29" s="171" t="n"/>
      <c r="I29" s="171" t="n"/>
      <c r="J29" s="172" t="n"/>
    </row>
    <row r="30" ht="22" customHeight="1">
      <c r="A30" s="195" t="inlineStr">
        <is>
          <t xml:space="preserve">  📌 Rekomendasikan mulai dengan: 2 Pasang Kambing (lebih murah, cepat beranak) + 20 Ekor Ayam Petelur (telur untuk dapur harian). Sapi bisa masuk Fase 1 setelah modal kebun kembali.</t>
        </is>
      </c>
      <c r="B30" s="171" t="n"/>
      <c r="C30" s="171" t="n"/>
      <c r="D30" s="171" t="n"/>
      <c r="E30" s="171" t="n"/>
      <c r="F30" s="171" t="n"/>
      <c r="G30" s="171" t="n"/>
      <c r="H30" s="171" t="n"/>
      <c r="I30" s="171" t="n"/>
      <c r="J30" s="172" t="n"/>
    </row>
    <row r="31" ht="26" customHeight="1">
      <c r="A31" s="174" t="inlineStr">
        <is>
          <t>No</t>
        </is>
      </c>
      <c r="B31" s="175" t="inlineStr">
        <is>
          <t>Uraian Kebutuhan</t>
        </is>
      </c>
      <c r="C31" s="176" t="inlineStr">
        <is>
          <t>Vol</t>
        </is>
      </c>
      <c r="D31" s="176" t="inlineStr">
        <is>
          <t>Sat</t>
        </is>
      </c>
      <c r="E31" s="176" t="inlineStr">
        <is>
          <t>Harga Sat (Rp)</t>
        </is>
      </c>
      <c r="F31" s="176" t="inlineStr">
        <is>
          <t>Total (Rp)</t>
        </is>
      </c>
      <c r="G31" s="176" t="inlineStr">
        <is>
          <t>Prioritas</t>
        </is>
      </c>
      <c r="H31" s="177" t="inlineStr">
        <is>
          <t>Catatan / Tips Hemat</t>
        </is>
      </c>
      <c r="I31" s="178" t="n"/>
      <c r="J31" s="179" t="n"/>
    </row>
    <row r="32" ht="18" customHeight="1">
      <c r="A32" s="180" t="n">
        <v>1</v>
      </c>
      <c r="B32" s="196" t="inlineStr">
        <is>
          <t>2 pasang kambing PE/Etawa (1 jantan + 3 betina)</t>
        </is>
      </c>
      <c r="C32" s="182" t="n">
        <v>4</v>
      </c>
      <c r="D32" s="180" t="inlineStr">
        <is>
          <t>ekor</t>
        </is>
      </c>
      <c r="E32" s="183" t="n">
        <v>2500000</v>
      </c>
      <c r="F32" s="184" t="n">
        <v>10000000</v>
      </c>
      <c r="G32" s="185" t="inlineStr">
        <is>
          <t>★★★</t>
        </is>
      </c>
      <c r="H32" s="186" t="inlineStr">
        <is>
          <t>Kambing lebih mudah dari sapi. Anak binaan bisa rawat. Susu + daging + kotoran pupuk</t>
        </is>
      </c>
      <c r="I32" s="171" t="n"/>
      <c r="J32" s="172" t="n"/>
    </row>
    <row r="33" ht="18" customHeight="1">
      <c r="A33" s="187" t="n">
        <v>2</v>
      </c>
      <c r="B33" s="188" t="inlineStr">
        <is>
          <t>Kandang kambing sederhana (bambu + baja ringan panggung)</t>
        </is>
      </c>
      <c r="C33" s="189" t="n">
        <v>1</v>
      </c>
      <c r="D33" s="187" t="inlineStr">
        <is>
          <t>paket</t>
        </is>
      </c>
      <c r="E33" s="183" t="n">
        <v>4000000</v>
      </c>
      <c r="F33" s="184" t="n">
        <v>4000000</v>
      </c>
      <c r="G33" s="185" t="inlineStr">
        <is>
          <t>★★★</t>
        </is>
      </c>
      <c r="H33" s="190" t="inlineStr">
        <is>
          <t>Panggung 70cm dari tanah. 4×3m cukup 4–6 ekor. Bambu lokal OK</t>
        </is>
      </c>
      <c r="I33" s="171" t="n"/>
      <c r="J33" s="172" t="n"/>
    </row>
    <row r="34" ht="18" customHeight="1">
      <c r="A34" s="180" t="n">
        <v>3</v>
      </c>
      <c r="B34" s="196" t="inlineStr">
        <is>
          <t>20 ekor ayam petelur (DOC/starter)</t>
        </is>
      </c>
      <c r="C34" s="182" t="n">
        <v>20</v>
      </c>
      <c r="D34" s="180" t="inlineStr">
        <is>
          <t>ekor</t>
        </is>
      </c>
      <c r="E34" s="183" t="n">
        <v>50000</v>
      </c>
      <c r="F34" s="184" t="n">
        <v>1000000</v>
      </c>
      <c r="G34" s="185" t="inlineStr">
        <is>
          <t>★★★</t>
        </is>
      </c>
      <c r="H34" s="186" t="inlineStr">
        <is>
          <t>20 ekor = 15–18 telur/hari. Cukup kebutuhan dapur 20 anak. Kotoran = pupuk</t>
        </is>
      </c>
      <c r="I34" s="171" t="n"/>
      <c r="J34" s="172" t="n"/>
    </row>
    <row r="35" ht="18" customHeight="1">
      <c r="A35" s="187" t="n">
        <v>4</v>
      </c>
      <c r="B35" s="188" t="inlineStr">
        <is>
          <t>Kandang ayam sederhana (baterai atau litter)</t>
        </is>
      </c>
      <c r="C35" s="189" t="n">
        <v>1</v>
      </c>
      <c r="D35" s="187" t="inlineStr">
        <is>
          <t>paket</t>
        </is>
      </c>
      <c r="E35" s="183" t="n">
        <v>2500000</v>
      </c>
      <c r="F35" s="184" t="n">
        <v>2500000</v>
      </c>
      <c r="G35" s="185" t="inlineStr">
        <is>
          <t>★★★</t>
        </is>
      </c>
      <c r="H35" s="190" t="inlineStr">
        <is>
          <t>Baterai untuk ayam layer. 20 ekor butuh 4m² minimal</t>
        </is>
      </c>
      <c r="I35" s="171" t="n"/>
      <c r="J35" s="172" t="n"/>
    </row>
    <row r="36" ht="18" customHeight="1">
      <c r="A36" s="180" t="n">
        <v>5</v>
      </c>
      <c r="B36" s="181" t="inlineStr">
        <is>
          <t>Pakan awal (3 bulan): ayam layer + pakan kambing</t>
        </is>
      </c>
      <c r="C36" s="182" t="n">
        <v>3</v>
      </c>
      <c r="D36" s="180" t="inlineStr">
        <is>
          <t>bulan</t>
        </is>
      </c>
      <c r="E36" s="183" t="n">
        <v>1200000</v>
      </c>
      <c r="F36" s="184" t="n">
        <v>3600000</v>
      </c>
      <c r="G36" s="185" t="inlineStr">
        <is>
          <t>★★★</t>
        </is>
      </c>
      <c r="H36" s="186" t="inlineStr">
        <is>
          <t>Kambing bisa makan rumput + dedak. Ayam butuh pakan layer 511 Rp 300rb/sak</t>
        </is>
      </c>
      <c r="I36" s="171" t="n"/>
      <c r="J36" s="172" t="n"/>
    </row>
    <row r="37" ht="18" customHeight="1">
      <c r="A37" s="187" t="n">
        <v>6</v>
      </c>
      <c r="B37" s="188" t="inlineStr">
        <is>
          <t>Vaksin awal + obat cacing + vitamin ternak</t>
        </is>
      </c>
      <c r="C37" s="189" t="n">
        <v>1</v>
      </c>
      <c r="D37" s="187" t="inlineStr">
        <is>
          <t>paket</t>
        </is>
      </c>
      <c r="E37" s="183" t="n">
        <v>800000</v>
      </c>
      <c r="F37" s="184" t="n">
        <v>800000</v>
      </c>
      <c r="G37" s="185" t="inlineStr">
        <is>
          <t>★★★</t>
        </is>
      </c>
      <c r="H37" s="190" t="inlineStr">
        <is>
          <t>Minta jadwal ke Dinas Peternakan. Biasanya ada program vaksin gratis dari pemda</t>
        </is>
      </c>
      <c r="I37" s="171" t="n"/>
      <c r="J37" s="172" t="n"/>
    </row>
    <row r="38" ht="18" customHeight="1">
      <c r="A38" s="180" t="n">
        <v>7</v>
      </c>
      <c r="B38" s="181" t="inlineStr">
        <is>
          <t>Ember, tempat makan, tempat minum, APD kandang</t>
        </is>
      </c>
      <c r="C38" s="182" t="n">
        <v>1</v>
      </c>
      <c r="D38" s="180" t="inlineStr">
        <is>
          <t>paket</t>
        </is>
      </c>
      <c r="E38" s="183" t="n">
        <v>400000</v>
      </c>
      <c r="F38" s="184" t="n">
        <v>400000</v>
      </c>
      <c r="G38" s="191" t="inlineStr">
        <is>
          <t>★★</t>
        </is>
      </c>
      <c r="H38" s="186" t="inlineStr">
        <is>
          <t>Perlengkapan kandang basic</t>
        </is>
      </c>
      <c r="I38" s="171" t="n"/>
      <c r="J38" s="172" t="n"/>
    </row>
    <row r="39" ht="20" customHeight="1">
      <c r="A39" s="192" t="inlineStr">
        <is>
          <t xml:space="preserve">  ▶ SUBTOTAL: TERNAK 2 PASANG + AYAM</t>
        </is>
      </c>
      <c r="B39" s="178" t="n"/>
      <c r="C39" s="178" t="n"/>
      <c r="D39" s="178" t="n"/>
      <c r="E39" s="178" t="n"/>
      <c r="F39" s="193" t="n">
        <v>22300000</v>
      </c>
      <c r="G39" s="194" t="n"/>
      <c r="H39" s="178" t="n"/>
      <c r="I39" s="178" t="n"/>
      <c r="J39" s="179" t="n"/>
    </row>
    <row r="40"/>
    <row r="41" ht="22" customHeight="1">
      <c r="A41" s="173" t="inlineStr">
        <is>
          <t xml:space="preserve">  D. PENDIDIKAN &amp; SKILL AWAL (10–20 Anak Binaan)</t>
        </is>
      </c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2" t="n"/>
    </row>
    <row r="42" ht="26" customHeight="1">
      <c r="A42" s="174" t="inlineStr">
        <is>
          <t>No</t>
        </is>
      </c>
      <c r="B42" s="175" t="inlineStr">
        <is>
          <t>Uraian Kebutuhan</t>
        </is>
      </c>
      <c r="C42" s="176" t="inlineStr">
        <is>
          <t>Vol</t>
        </is>
      </c>
      <c r="D42" s="176" t="inlineStr">
        <is>
          <t>Sat</t>
        </is>
      </c>
      <c r="E42" s="176" t="inlineStr">
        <is>
          <t>Harga Sat (Rp)</t>
        </is>
      </c>
      <c r="F42" s="176" t="inlineStr">
        <is>
          <t>Total (Rp)</t>
        </is>
      </c>
      <c r="G42" s="176" t="inlineStr">
        <is>
          <t>Prioritas</t>
        </is>
      </c>
      <c r="H42" s="177" t="inlineStr">
        <is>
          <t>Catatan / Tips Hemat</t>
        </is>
      </c>
      <c r="I42" s="178" t="n"/>
      <c r="J42" s="179" t="n"/>
    </row>
    <row r="43" ht="18" customHeight="1">
      <c r="A43" s="180" t="n">
        <v>1</v>
      </c>
      <c r="B43" s="181" t="inlineStr">
        <is>
          <t>10 unit laptop/PC refurbished (Core i3, RAM 4GB)</t>
        </is>
      </c>
      <c r="C43" s="182" t="n">
        <v>10</v>
      </c>
      <c r="D43" s="180" t="inlineStr">
        <is>
          <t>unit</t>
        </is>
      </c>
      <c r="E43" s="183" t="n">
        <v>1800000</v>
      </c>
      <c r="F43" s="184" t="n">
        <v>18000000</v>
      </c>
      <c r="G43" s="185" t="inlineStr">
        <is>
          <t>★★★</t>
        </is>
      </c>
      <c r="H43" s="186" t="inlineStr">
        <is>
          <t>Second OK! Tokopedia/Shopee banyak. Cek seller rated. Atau minta donasi in-kind ke perusahaan IT</t>
        </is>
      </c>
      <c r="I43" s="171" t="n"/>
      <c r="J43" s="172" t="n"/>
    </row>
    <row r="44" ht="18" customHeight="1">
      <c r="A44" s="187" t="n">
        <v>2</v>
      </c>
      <c r="B44" s="188" t="inlineStr">
        <is>
          <t>Papan tulis whiteboard 120×240cm</t>
        </is>
      </c>
      <c r="C44" s="189" t="n">
        <v>2</v>
      </c>
      <c r="D44" s="187" t="inlineStr">
        <is>
          <t>unit</t>
        </is>
      </c>
      <c r="E44" s="183" t="n">
        <v>800000</v>
      </c>
      <c r="F44" s="184" t="n">
        <v>1600000</v>
      </c>
      <c r="G44" s="185" t="inlineStr">
        <is>
          <t>★★★</t>
        </is>
      </c>
      <c r="H44" s="190" t="n"/>
      <c r="I44" s="171" t="n"/>
      <c r="J44" s="172" t="n"/>
    </row>
    <row r="45" ht="18" customHeight="1">
      <c r="A45" s="180" t="n">
        <v>3</v>
      </c>
      <c r="B45" s="181" t="inlineStr">
        <is>
          <t>Meja + kursi belajar (10–20 set)</t>
        </is>
      </c>
      <c r="C45" s="182" t="n">
        <v>20</v>
      </c>
      <c r="D45" s="180" t="inlineStr">
        <is>
          <t>set</t>
        </is>
      </c>
      <c r="E45" s="183" t="n">
        <v>250000</v>
      </c>
      <c r="F45" s="184" t="n">
        <v>5000000</v>
      </c>
      <c r="G45" s="185" t="inlineStr">
        <is>
          <t>★★★</t>
        </is>
      </c>
      <c r="H45" s="186" t="inlineStr">
        <is>
          <t>Beli bekas dari sekolah bubar. Bisa dapat Rp 100–150rb/set second</t>
        </is>
      </c>
      <c r="I45" s="171" t="n"/>
      <c r="J45" s="172" t="n"/>
    </row>
    <row r="46" ht="18" customHeight="1">
      <c r="A46" s="187" t="n">
        <v>4</v>
      </c>
      <c r="B46" s="188" t="inlineStr">
        <is>
          <t>Router WiFi + kuota internet 6 bulan</t>
        </is>
      </c>
      <c r="C46" s="189" t="n">
        <v>6</v>
      </c>
      <c r="D46" s="187" t="inlineStr">
        <is>
          <t>bulan</t>
        </is>
      </c>
      <c r="E46" s="183" t="n">
        <v>300000</v>
      </c>
      <c r="F46" s="184" t="n">
        <v>1800000</v>
      </c>
      <c r="G46" s="185" t="inlineStr">
        <is>
          <t>★★★</t>
        </is>
      </c>
      <c r="H46" s="190" t="inlineStr">
        <is>
          <t>TP-Link AC1200 Rp 250rb. Internet wajib untuk akses Paket C online &amp; digital skill</t>
        </is>
      </c>
      <c r="I46" s="171" t="n"/>
      <c r="J46" s="172" t="n"/>
    </row>
    <row r="47" ht="18" customHeight="1">
      <c r="A47" s="180" t="n">
        <v>5</v>
      </c>
      <c r="B47" s="181" t="inlineStr">
        <is>
          <t>Modul &amp; buku Paket C (download PDF gratis Kemendikbud)</t>
        </is>
      </c>
      <c r="C47" s="182" t="n">
        <v>20</v>
      </c>
      <c r="D47" s="180" t="inlineStr">
        <is>
          <t>anak</t>
        </is>
      </c>
      <c r="E47" s="183" t="n">
        <v>50000</v>
      </c>
      <c r="F47" s="184" t="n">
        <v>1000000</v>
      </c>
      <c r="G47" s="185" t="inlineStr">
        <is>
          <t>★★★</t>
        </is>
      </c>
      <c r="H47" s="186" t="inlineStr">
        <is>
          <t>PDF gratis! Biaya hanya cetak &amp; jilid. Kemendikbud.go.id/modul-kesetaraan</t>
        </is>
      </c>
      <c r="I47" s="171" t="n"/>
      <c r="J47" s="172" t="n"/>
    </row>
    <row r="48" ht="18" customHeight="1">
      <c r="A48" s="187" t="n">
        <v>6</v>
      </c>
      <c r="B48" s="188" t="inlineStr">
        <is>
          <t>ATK anak binaan (3 bulan): buku, pensil, pulpen</t>
        </is>
      </c>
      <c r="C48" s="189" t="n">
        <v>20</v>
      </c>
      <c r="D48" s="187" t="inlineStr">
        <is>
          <t>anak</t>
        </is>
      </c>
      <c r="E48" s="183" t="n">
        <v>75000</v>
      </c>
      <c r="F48" s="184" t="n">
        <v>1500000</v>
      </c>
      <c r="G48" s="185" t="inlineStr">
        <is>
          <t>★★★</t>
        </is>
      </c>
      <c r="H48" s="190" t="inlineStr">
        <is>
          <t>Bisa jadi program donasi in-kind yang bagus untuk kampanye sosmed</t>
        </is>
      </c>
      <c r="I48" s="171" t="n"/>
      <c r="J48" s="172" t="n"/>
    </row>
    <row r="49" ht="18" customHeight="1">
      <c r="A49" s="180" t="n">
        <v>7</v>
      </c>
      <c r="B49" s="181" t="inlineStr">
        <is>
          <t>Mesin jahit portable (skill pertama yang bisa langsung menghasilkan)</t>
        </is>
      </c>
      <c r="C49" s="182" t="n">
        <v>2</v>
      </c>
      <c r="D49" s="180" t="inlineStr">
        <is>
          <t>unit</t>
        </is>
      </c>
      <c r="E49" s="183" t="n">
        <v>1500000</v>
      </c>
      <c r="F49" s="184" t="n">
        <v>3000000</v>
      </c>
      <c r="G49" s="191" t="inlineStr">
        <is>
          <t>★★</t>
        </is>
      </c>
      <c r="H49" s="186" t="inlineStr">
        <is>
          <t>Singer/Brother portable. Skill jahit = langsung bisa terima order baju/olshop</t>
        </is>
      </c>
      <c r="I49" s="171" t="n"/>
      <c r="J49" s="172" t="n"/>
    </row>
    <row r="50" ht="18" customHeight="1">
      <c r="A50" s="187" t="n">
        <v>8</v>
      </c>
      <c r="B50" s="188" t="inlineStr">
        <is>
          <t>Printer laser mono (laporan, sertifikat, dokumen)</t>
        </is>
      </c>
      <c r="C50" s="189" t="n">
        <v>1</v>
      </c>
      <c r="D50" s="187" t="inlineStr">
        <is>
          <t>unit</t>
        </is>
      </c>
      <c r="E50" s="183" t="n">
        <v>1500000</v>
      </c>
      <c r="F50" s="184" t="n">
        <v>1500000</v>
      </c>
      <c r="G50" s="191" t="inlineStr">
        <is>
          <t>★★</t>
        </is>
      </c>
      <c r="H50" s="190" t="inlineStr">
        <is>
          <t>HP LaserJet M130. Cetak laporan donasi &amp; sertifikat anak</t>
        </is>
      </c>
      <c r="I50" s="171" t="n"/>
      <c r="J50" s="172" t="n"/>
    </row>
    <row r="51" ht="20" customHeight="1">
      <c r="A51" s="192" t="inlineStr">
        <is>
          <t xml:space="preserve">  ▶ SUBTOTAL: PENDIDIKAN &amp; SKILL</t>
        </is>
      </c>
      <c r="B51" s="178" t="n"/>
      <c r="C51" s="178" t="n"/>
      <c r="D51" s="178" t="n"/>
      <c r="E51" s="178" t="n"/>
      <c r="F51" s="193" t="n">
        <v>33400000</v>
      </c>
      <c r="G51" s="194" t="n"/>
      <c r="H51" s="178" t="n"/>
      <c r="I51" s="178" t="n"/>
      <c r="J51" s="179" t="n"/>
    </row>
    <row r="52"/>
    <row r="53" ht="22" customHeight="1">
      <c r="A53" s="173" t="inlineStr">
        <is>
          <t xml:space="preserve">  E. DAPUR, LOGISTIK &amp; KEBUTUHAN HARIAN</t>
        </is>
      </c>
      <c r="B53" s="171" t="n"/>
      <c r="C53" s="171" t="n"/>
      <c r="D53" s="171" t="n"/>
      <c r="E53" s="171" t="n"/>
      <c r="F53" s="171" t="n"/>
      <c r="G53" s="171" t="n"/>
      <c r="H53" s="171" t="n"/>
      <c r="I53" s="171" t="n"/>
      <c r="J53" s="172" t="n"/>
    </row>
    <row r="54" ht="26" customHeight="1">
      <c r="A54" s="174" t="inlineStr">
        <is>
          <t>No</t>
        </is>
      </c>
      <c r="B54" s="175" t="inlineStr">
        <is>
          <t>Uraian Kebutuhan</t>
        </is>
      </c>
      <c r="C54" s="176" t="inlineStr">
        <is>
          <t>Vol</t>
        </is>
      </c>
      <c r="D54" s="176" t="inlineStr">
        <is>
          <t>Sat</t>
        </is>
      </c>
      <c r="E54" s="176" t="inlineStr">
        <is>
          <t>Harga Sat (Rp)</t>
        </is>
      </c>
      <c r="F54" s="176" t="inlineStr">
        <is>
          <t>Total (Rp)</t>
        </is>
      </c>
      <c r="G54" s="176" t="inlineStr">
        <is>
          <t>Prioritas</t>
        </is>
      </c>
      <c r="H54" s="177" t="inlineStr">
        <is>
          <t>Catatan / Tips Hemat</t>
        </is>
      </c>
      <c r="I54" s="178" t="n"/>
      <c r="J54" s="179" t="n"/>
    </row>
    <row r="55" ht="18" customHeight="1">
      <c r="A55" s="180" t="n">
        <v>1</v>
      </c>
      <c r="B55" s="181" t="inlineStr">
        <is>
          <t>Kompor gas 2 tungku + 2 tabung gas 12kg (awal)</t>
        </is>
      </c>
      <c r="C55" s="182" t="n">
        <v>2</v>
      </c>
      <c r="D55" s="180" t="inlineStr">
        <is>
          <t>set</t>
        </is>
      </c>
      <c r="E55" s="183" t="n">
        <v>600000</v>
      </c>
      <c r="F55" s="184" t="n">
        <v>1200000</v>
      </c>
      <c r="G55" s="185" t="inlineStr">
        <is>
          <t>★★★</t>
        </is>
      </c>
      <c r="H55" s="186" t="n"/>
      <c r="I55" s="171" t="n"/>
      <c r="J55" s="172" t="n"/>
    </row>
    <row r="56" ht="18" customHeight="1">
      <c r="A56" s="187" t="n">
        <v>2</v>
      </c>
      <c r="B56" s="188" t="inlineStr">
        <is>
          <t>Rice cooker 5L (kapasitas untuk 20 anak)</t>
        </is>
      </c>
      <c r="C56" s="189" t="n">
        <v>2</v>
      </c>
      <c r="D56" s="187" t="inlineStr">
        <is>
          <t>unit</t>
        </is>
      </c>
      <c r="E56" s="183" t="n">
        <v>400000</v>
      </c>
      <c r="F56" s="184" t="n">
        <v>800000</v>
      </c>
      <c r="G56" s="185" t="inlineStr">
        <is>
          <t>★★★</t>
        </is>
      </c>
      <c r="H56" s="190" t="inlineStr">
        <is>
          <t>Miyako atau sejenisnya</t>
        </is>
      </c>
      <c r="I56" s="171" t="n"/>
      <c r="J56" s="172" t="n"/>
    </row>
    <row r="57" ht="18" customHeight="1">
      <c r="A57" s="180" t="n">
        <v>3</v>
      </c>
      <c r="B57" s="181" t="inlineStr">
        <is>
          <t>Kulkas 2 pintu 300L</t>
        </is>
      </c>
      <c r="C57" s="182" t="n">
        <v>1</v>
      </c>
      <c r="D57" s="180" t="inlineStr">
        <is>
          <t>unit</t>
        </is>
      </c>
      <c r="E57" s="183" t="n">
        <v>3500000</v>
      </c>
      <c r="F57" s="184" t="n">
        <v>3500000</v>
      </c>
      <c r="G57" s="185" t="inlineStr">
        <is>
          <t>★★★</t>
        </is>
      </c>
      <c r="H57" s="186" t="inlineStr">
        <is>
          <t>Simpan sayur, telur, susu kambing</t>
        </is>
      </c>
      <c r="I57" s="171" t="n"/>
      <c r="J57" s="172" t="n"/>
    </row>
    <row r="58" ht="18" customHeight="1">
      <c r="A58" s="187" t="n">
        <v>4</v>
      </c>
      <c r="B58" s="188" t="inlineStr">
        <is>
          <t>Wajan besar, panci, spatula (set dapur)</t>
        </is>
      </c>
      <c r="C58" s="189" t="n">
        <v>2</v>
      </c>
      <c r="D58" s="187" t="inlineStr">
        <is>
          <t>set</t>
        </is>
      </c>
      <c r="E58" s="183" t="n">
        <v>500000</v>
      </c>
      <c r="F58" s="184" t="n">
        <v>1000000</v>
      </c>
      <c r="G58" s="185" t="inlineStr">
        <is>
          <t>★★★</t>
        </is>
      </c>
      <c r="H58" s="190" t="n"/>
      <c r="I58" s="171" t="n"/>
      <c r="J58" s="172" t="n"/>
    </row>
    <row r="59" ht="18" customHeight="1">
      <c r="A59" s="180" t="n">
        <v>5</v>
      </c>
      <c r="B59" s="181" t="inlineStr">
        <is>
          <t>Perlengkapan makan 20 anak (piring, gelas, sendok)</t>
        </is>
      </c>
      <c r="C59" s="182" t="n">
        <v>25</v>
      </c>
      <c r="D59" s="180" t="inlineStr">
        <is>
          <t>set</t>
        </is>
      </c>
      <c r="E59" s="183" t="n">
        <v>35000</v>
      </c>
      <c r="F59" s="184" t="n">
        <v>875000</v>
      </c>
      <c r="G59" s="185" t="inlineStr">
        <is>
          <t>★★★</t>
        </is>
      </c>
      <c r="H59" s="186" t="inlineStr">
        <is>
          <t>Melamin anti pecah</t>
        </is>
      </c>
      <c r="I59" s="171" t="n"/>
      <c r="J59" s="172" t="n"/>
    </row>
    <row r="60" ht="18" customHeight="1">
      <c r="A60" s="187" t="n">
        <v>6</v>
      </c>
      <c r="B60" s="188" t="inlineStr">
        <is>
          <t>Dispenser + galon air minum</t>
        </is>
      </c>
      <c r="C60" s="189" t="n">
        <v>2</v>
      </c>
      <c r="D60" s="187" t="inlineStr">
        <is>
          <t>unit</t>
        </is>
      </c>
      <c r="E60" s="183" t="n">
        <v>300000</v>
      </c>
      <c r="F60" s="184" t="n">
        <v>600000</v>
      </c>
      <c r="G60" s="185" t="inlineStr">
        <is>
          <t>★★★</t>
        </is>
      </c>
      <c r="H60" s="190" t="n"/>
      <c r="I60" s="171" t="n"/>
      <c r="J60" s="172" t="n"/>
    </row>
    <row r="61" ht="18" customHeight="1">
      <c r="A61" s="180" t="n">
        <v>7</v>
      </c>
      <c r="B61" s="181" t="inlineStr">
        <is>
          <t>Motor operasional (second 2018+)</t>
        </is>
      </c>
      <c r="C61" s="182" t="n">
        <v>1</v>
      </c>
      <c r="D61" s="180" t="inlineStr">
        <is>
          <t>unit</t>
        </is>
      </c>
      <c r="E61" s="183" t="n">
        <v>7000000</v>
      </c>
      <c r="F61" s="184" t="n">
        <v>7000000</v>
      </c>
      <c r="G61" s="191" t="inlineStr">
        <is>
          <t>★★</t>
        </is>
      </c>
      <c r="H61" s="186" t="inlineStr">
        <is>
          <t>Untuk belanja harian + urusan administrasi. Bisa second tahun 2015+ asal kondisi baik</t>
        </is>
      </c>
      <c r="I61" s="171" t="n"/>
      <c r="J61" s="172" t="n"/>
    </row>
    <row r="62" ht="18" customHeight="1">
      <c r="A62" s="187" t="n">
        <v>8</v>
      </c>
      <c r="B62" s="188" t="inlineStr">
        <is>
          <t>Kebutuhan makan 20 anak (3 bulan pertama buffer)</t>
        </is>
      </c>
      <c r="C62" s="189" t="n">
        <v>3</v>
      </c>
      <c r="D62" s="187" t="inlineStr">
        <is>
          <t>bulan</t>
        </is>
      </c>
      <c r="E62" s="183" t="n">
        <v>5000000</v>
      </c>
      <c r="F62" s="184" t="n">
        <v>15000000</v>
      </c>
      <c r="G62" s="185" t="inlineStr">
        <is>
          <t>★★★</t>
        </is>
      </c>
      <c r="H62" s="190" t="inlineStr">
        <is>
          <t>Rp 250rb/anak/bln = Rp 5jt/bln untuk 20 anak. Berkurang setelah kebun &amp; ternak produksi</t>
        </is>
      </c>
      <c r="I62" s="171" t="n"/>
      <c r="J62" s="172" t="n"/>
    </row>
    <row r="63" ht="20" customHeight="1">
      <c r="A63" s="192" t="inlineStr">
        <is>
          <t xml:space="preserve">  ▶ SUBTOTAL: DAPUR &amp; OPERASIONAL 3 BLN AWAL</t>
        </is>
      </c>
      <c r="B63" s="178" t="n"/>
      <c r="C63" s="178" t="n"/>
      <c r="D63" s="178" t="n"/>
      <c r="E63" s="178" t="n"/>
      <c r="F63" s="193" t="n">
        <v>29975000</v>
      </c>
      <c r="G63" s="194" t="n"/>
      <c r="H63" s="178" t="n"/>
      <c r="I63" s="178" t="n"/>
      <c r="J63" s="179" t="n"/>
    </row>
    <row r="64"/>
    <row r="65" ht="22" customHeight="1">
      <c r="A65" s="173" t="inlineStr">
        <is>
          <t xml:space="preserve">  F. LEGALITAS, BRANDING &amp; ADMINISTRASI</t>
        </is>
      </c>
      <c r="B65" s="171" t="n"/>
      <c r="C65" s="171" t="n"/>
      <c r="D65" s="171" t="n"/>
      <c r="E65" s="171" t="n"/>
      <c r="F65" s="171" t="n"/>
      <c r="G65" s="171" t="n"/>
      <c r="H65" s="171" t="n"/>
      <c r="I65" s="171" t="n"/>
      <c r="J65" s="172" t="n"/>
    </row>
    <row r="66" ht="26" customHeight="1">
      <c r="A66" s="174" t="inlineStr">
        <is>
          <t>No</t>
        </is>
      </c>
      <c r="B66" s="175" t="inlineStr">
        <is>
          <t>Uraian Kebutuhan</t>
        </is>
      </c>
      <c r="C66" s="176" t="inlineStr">
        <is>
          <t>Vol</t>
        </is>
      </c>
      <c r="D66" s="176" t="inlineStr">
        <is>
          <t>Sat</t>
        </is>
      </c>
      <c r="E66" s="176" t="inlineStr">
        <is>
          <t>Harga Sat (Rp)</t>
        </is>
      </c>
      <c r="F66" s="176" t="inlineStr">
        <is>
          <t>Total (Rp)</t>
        </is>
      </c>
      <c r="G66" s="176" t="inlineStr">
        <is>
          <t>Prioritas</t>
        </is>
      </c>
      <c r="H66" s="177" t="inlineStr">
        <is>
          <t>Catatan / Tips Hemat</t>
        </is>
      </c>
      <c r="I66" s="178" t="n"/>
      <c r="J66" s="179" t="n"/>
    </row>
    <row r="67" ht="18" customHeight="1">
      <c r="A67" s="180" t="n">
        <v>1</v>
      </c>
      <c r="B67" s="181" t="inlineStr">
        <is>
          <t>Notaris pendirian yayasan + SK Kemenkumham</t>
        </is>
      </c>
      <c r="C67" s="182" t="n">
        <v>1</v>
      </c>
      <c r="D67" s="180" t="inlineStr">
        <is>
          <t>paket</t>
        </is>
      </c>
      <c r="E67" s="183" t="n">
        <v>8000000</v>
      </c>
      <c r="F67" s="184" t="n">
        <v>8000000</v>
      </c>
      <c r="G67" s="185" t="inlineStr">
        <is>
          <t>★★★</t>
        </is>
      </c>
      <c r="H67" s="186" t="inlineStr">
        <is>
          <t>Cari notaris lokal Bogor. Tanpa ini tidak bisa buka rekening &amp; terima donasi resmi</t>
        </is>
      </c>
      <c r="I67" s="171" t="n"/>
      <c r="J67" s="172" t="n"/>
    </row>
    <row r="68" ht="18" customHeight="1">
      <c r="A68" s="180" t="n">
        <v>2</v>
      </c>
      <c r="B68" s="197" t="inlineStr">
        <is>
          <t>NPWP yayasan (gratis di KPP)</t>
        </is>
      </c>
      <c r="C68" s="182" t="n">
        <v>1</v>
      </c>
      <c r="D68" s="180" t="inlineStr">
        <is>
          <t>paket</t>
        </is>
      </c>
      <c r="E68" s="183" t="n">
        <v>0</v>
      </c>
      <c r="F68" s="198" t="n"/>
      <c r="G68" s="185" t="inlineStr">
        <is>
          <t>★★★</t>
        </is>
      </c>
      <c r="H68" s="186" t="inlineStr">
        <is>
          <t>GRATIS. Daftar ke KPP terdekat. Bawa akta notaris + SK Kemenkumham</t>
        </is>
      </c>
      <c r="I68" s="171" t="n"/>
      <c r="J68" s="172" t="n"/>
    </row>
    <row r="69" ht="18" customHeight="1">
      <c r="A69" s="180" t="n">
        <v>3</v>
      </c>
      <c r="B69" s="181" t="inlineStr">
        <is>
          <t>Rekening bank yayasan (BCA/BRI/BSI)</t>
        </is>
      </c>
      <c r="C69" s="182" t="n">
        <v>1</v>
      </c>
      <c r="D69" s="180" t="inlineStr">
        <is>
          <t>paket</t>
        </is>
      </c>
      <c r="E69" s="183" t="n">
        <v>500000</v>
      </c>
      <c r="F69" s="184" t="n">
        <v>500000</v>
      </c>
      <c r="G69" s="185" t="inlineStr">
        <is>
          <t>★★★</t>
        </is>
      </c>
      <c r="H69" s="186" t="inlineStr">
        <is>
          <t>Setoran awal rekening. Wajib sebelum promosi donasi!</t>
        </is>
      </c>
      <c r="I69" s="171" t="n"/>
      <c r="J69" s="172" t="n"/>
    </row>
    <row r="70" ht="18" customHeight="1">
      <c r="A70" s="187" t="n">
        <v>4</v>
      </c>
      <c r="B70" s="188" t="inlineStr">
        <is>
          <t>SKT dari Kemendagri / izin LKS dari Dinsos</t>
        </is>
      </c>
      <c r="C70" s="189" t="n">
        <v>1</v>
      </c>
      <c r="D70" s="187" t="inlineStr">
        <is>
          <t>paket</t>
        </is>
      </c>
      <c r="E70" s="183" t="n">
        <v>1000000</v>
      </c>
      <c r="F70" s="184" t="n">
        <v>1000000</v>
      </c>
      <c r="G70" s="185" t="inlineStr">
        <is>
          <t>★★★</t>
        </is>
      </c>
      <c r="H70" s="190" t="inlineStr">
        <is>
          <t>Biaya administrasi &amp; pengurusan. Minta bantuan relawan hukum/HRD</t>
        </is>
      </c>
      <c r="I70" s="171" t="n"/>
      <c r="J70" s="172" t="n"/>
    </row>
    <row r="71" ht="18" customHeight="1">
      <c r="A71" s="180" t="n">
        <v>5</v>
      </c>
      <c r="B71" s="181" t="inlineStr">
        <is>
          <t>Domain nawacahaya.org + hosting 1 tahun</t>
        </is>
      </c>
      <c r="C71" s="182" t="n">
        <v>1</v>
      </c>
      <c r="D71" s="180" t="inlineStr">
        <is>
          <t>tahun</t>
        </is>
      </c>
      <c r="E71" s="183" t="n">
        <v>600000</v>
      </c>
      <c r="F71" s="184" t="n">
        <v>600000</v>
      </c>
      <c r="G71" s="185" t="inlineStr">
        <is>
          <t>★★★</t>
        </is>
      </c>
      <c r="H71" s="186" t="inlineStr">
        <is>
          <t>Domain .org Rp 200rb, hosting Vercel GRATIS untuk web statis</t>
        </is>
      </c>
      <c r="I71" s="171" t="n"/>
      <c r="J71" s="172" t="n"/>
    </row>
    <row r="72" ht="18" customHeight="1">
      <c r="A72" s="187" t="n">
        <v>6</v>
      </c>
      <c r="B72" s="188" t="inlineStr">
        <is>
          <t>Google Workspace (email resmi info@nawacahaya.org)</t>
        </is>
      </c>
      <c r="C72" s="189" t="n">
        <v>1</v>
      </c>
      <c r="D72" s="187" t="inlineStr">
        <is>
          <t>tahun</t>
        </is>
      </c>
      <c r="E72" s="183" t="n">
        <v>1200000</v>
      </c>
      <c r="F72" s="184" t="n">
        <v>1200000</v>
      </c>
      <c r="G72" s="191" t="inlineStr">
        <is>
          <t>★★</t>
        </is>
      </c>
      <c r="H72" s="190" t="inlineStr">
        <is>
          <t>Business Starter $6/user/bln. Atau pakai Gmail custom domain lebih murah</t>
        </is>
      </c>
      <c r="I72" s="171" t="n"/>
      <c r="J72" s="172" t="n"/>
    </row>
    <row r="73" ht="18" customHeight="1">
      <c r="A73" s="180" t="n">
        <v>7</v>
      </c>
      <c r="B73" s="181" t="inlineStr">
        <is>
          <t>Cetak proposal donatur (A4 glossy, 10 hal, 30 eks)</t>
        </is>
      </c>
      <c r="C73" s="182" t="n">
        <v>30</v>
      </c>
      <c r="D73" s="180" t="inlineStr">
        <is>
          <t>eks</t>
        </is>
      </c>
      <c r="E73" s="183" t="n">
        <v>25000</v>
      </c>
      <c r="F73" s="184" t="n">
        <v>750000</v>
      </c>
      <c r="G73" s="185" t="inlineStr">
        <is>
          <t>★★★</t>
        </is>
      </c>
      <c r="H73" s="186" t="inlineStr">
        <is>
          <t>Untuk kunjungan donatur &amp; CSR. Desain pakai Canva Pro (gratis trial 30 hari)</t>
        </is>
      </c>
      <c r="I73" s="171" t="n"/>
      <c r="J73" s="172" t="n"/>
    </row>
    <row r="74" ht="18" customHeight="1">
      <c r="A74" s="187" t="n">
        <v>8</v>
      </c>
      <c r="B74" s="188" t="inlineStr">
        <is>
          <t>Kartu nama founder &amp; staf (250gsm, 100 lembar)</t>
        </is>
      </c>
      <c r="C74" s="189" t="n">
        <v>2</v>
      </c>
      <c r="D74" s="187" t="inlineStr">
        <is>
          <t>box</t>
        </is>
      </c>
      <c r="E74" s="183" t="n">
        <v>150000</v>
      </c>
      <c r="F74" s="184" t="n">
        <v>300000</v>
      </c>
      <c r="G74" s="191" t="inlineStr">
        <is>
          <t>★★</t>
        </is>
      </c>
      <c r="H74" s="190" t="inlineStr">
        <is>
          <t>Cetak di Tokopedia. Wajib untuk networking donatur &amp; CSR</t>
        </is>
      </c>
      <c r="I74" s="171" t="n"/>
      <c r="J74" s="172" t="n"/>
    </row>
    <row r="75" ht="18" customHeight="1">
      <c r="A75" s="180" t="n">
        <v>9</v>
      </c>
      <c r="B75" s="181" t="inlineStr">
        <is>
          <t>BPJS Kesehatan anak binaan (Fase 1 daftarkan ke PBI)</t>
        </is>
      </c>
      <c r="C75" s="182" t="n">
        <v>20</v>
      </c>
      <c r="D75" s="180" t="inlineStr">
        <is>
          <t>anak</t>
        </is>
      </c>
      <c r="E75" s="183" t="n">
        <v>42000</v>
      </c>
      <c r="F75" s="184" t="n">
        <v>840000</v>
      </c>
      <c r="G75" s="191" t="inlineStr">
        <is>
          <t>★★</t>
        </is>
      </c>
      <c r="H75" s="186" t="inlineStr">
        <is>
          <t>Daftar PBI (Penerima Bantuan Iuran) gratis! Minta ke Dinsos. Atau iuran Rp 42rb/anak/bln</t>
        </is>
      </c>
      <c r="I75" s="171" t="n"/>
      <c r="J75" s="172" t="n"/>
    </row>
    <row r="76" ht="18" customHeight="1">
      <c r="A76" s="187" t="n">
        <v>10</v>
      </c>
      <c r="B76" s="188" t="inlineStr">
        <is>
          <t>Canva Pro 1 tahun (desain semua materi visual)</t>
        </is>
      </c>
      <c r="C76" s="189" t="n">
        <v>1</v>
      </c>
      <c r="D76" s="187" t="inlineStr">
        <is>
          <t>tahun</t>
        </is>
      </c>
      <c r="E76" s="183" t="n">
        <v>800000</v>
      </c>
      <c r="F76" s="184" t="n">
        <v>800000</v>
      </c>
      <c r="G76" s="191" t="inlineStr">
        <is>
          <t>★★</t>
        </is>
      </c>
      <c r="H76" s="190" t="inlineStr">
        <is>
          <t>Semua desain postingan IG, proposal, sertifikat. Worth it banget untuk yayasan</t>
        </is>
      </c>
      <c r="I76" s="171" t="n"/>
      <c r="J76" s="172" t="n"/>
    </row>
    <row r="77" ht="20" customHeight="1">
      <c r="A77" s="192" t="inlineStr">
        <is>
          <t xml:space="preserve">  ▶ SUBTOTAL: LEGALITAS &amp; ADMIN</t>
        </is>
      </c>
      <c r="B77" s="178" t="n"/>
      <c r="C77" s="178" t="n"/>
      <c r="D77" s="178" t="n"/>
      <c r="E77" s="178" t="n"/>
      <c r="F77" s="193" t="n">
        <v>13990000</v>
      </c>
      <c r="G77" s="194" t="n"/>
      <c r="H77" s="178" t="n"/>
      <c r="I77" s="178" t="n"/>
      <c r="J77" s="179" t="n"/>
    </row>
    <row r="78"/>
    <row r="79" ht="36" customHeight="1">
      <c r="A79" s="199" t="inlineStr">
        <is>
          <t xml:space="preserve">  🏆 GRAND TOTAL — KEBUTUHAN FASE 0–1 (MULAI KECIL)</t>
        </is>
      </c>
      <c r="B79" s="200" t="n"/>
      <c r="C79" s="200" t="n"/>
      <c r="D79" s="200" t="n"/>
      <c r="E79" s="200" t="n"/>
      <c r="F79" s="201" t="n">
        <v>176365000</v>
      </c>
      <c r="G79" s="202" t="inlineStr">
        <is>
          <t>Estimasi. Harga bisa turun 20–30% dengan barang second + relawan + donasi in-kind</t>
        </is>
      </c>
      <c r="H79" s="200" t="n"/>
      <c r="I79" s="200" t="n"/>
      <c r="J79" s="203" t="n"/>
    </row>
    <row r="80"/>
    <row r="81">
      <c r="A81" s="173" t="inlineStr">
        <is>
          <t>📊 BREAKDOWN PER KATEGORI &amp; POTENSI HEMAT</t>
        </is>
      </c>
      <c r="B81" s="171" t="n"/>
      <c r="C81" s="171" t="n"/>
      <c r="D81" s="171" t="n"/>
      <c r="E81" s="171" t="n"/>
      <c r="F81" s="171" t="n"/>
      <c r="G81" s="171" t="n"/>
      <c r="H81" s="171" t="n"/>
      <c r="I81" s="171" t="n"/>
      <c r="J81" s="172" t="n"/>
    </row>
    <row r="82" ht="20" customHeight="1">
      <c r="A82" s="204" t="inlineStr">
        <is>
          <t xml:space="preserve">  A. Bangunan Sementara</t>
        </is>
      </c>
      <c r="B82" s="171" t="n"/>
      <c r="C82" s="171" t="n"/>
      <c r="D82" s="171" t="n"/>
      <c r="E82" s="205" t="n">
        <v>56500000</v>
      </c>
      <c r="F82" s="206" t="inlineStr">
        <is>
          <t>32.0%</t>
        </is>
      </c>
      <c r="G82" s="207" t="inlineStr">
        <is>
          <t>Beli kayu/bambu dari warga sekitar. Gotong royong bikin 30% lebih murah</t>
        </is>
      </c>
      <c r="H82" s="171" t="n"/>
      <c r="I82" s="171" t="n"/>
      <c r="J82" s="172" t="n"/>
    </row>
    <row r="83" ht="20" customHeight="1">
      <c r="A83" s="208" t="inlineStr">
        <is>
          <t xml:space="preserve">  B. Kebun 1.000 m²</t>
        </is>
      </c>
      <c r="B83" s="171" t="n"/>
      <c r="C83" s="171" t="n"/>
      <c r="D83" s="171" t="n"/>
      <c r="E83" s="209" t="n">
        <v>20200000</v>
      </c>
      <c r="F83" s="210" t="inlineStr">
        <is>
          <t>11.5%</t>
        </is>
      </c>
      <c r="G83" s="211" t="inlineStr">
        <is>
          <t>Bibit sereh murah. Jahe merah investasi terbaik dengan harga ekspor</t>
        </is>
      </c>
      <c r="H83" s="171" t="n"/>
      <c r="I83" s="171" t="n"/>
      <c r="J83" s="172" t="n"/>
    </row>
    <row r="84" ht="20" customHeight="1">
      <c r="A84" s="212" t="inlineStr">
        <is>
          <t xml:space="preserve">  C. Ternak 2 Pasang</t>
        </is>
      </c>
      <c r="B84" s="171" t="n"/>
      <c r="C84" s="171" t="n"/>
      <c r="D84" s="171" t="n"/>
      <c r="E84" s="213" t="n">
        <v>22300000</v>
      </c>
      <c r="F84" s="214" t="inlineStr">
        <is>
          <t>12.6%</t>
        </is>
      </c>
      <c r="G84" s="215" t="inlineStr">
        <is>
          <t>Kambing + ayam = combo paling efisien. Sapi nanti setelah modal balik</t>
        </is>
      </c>
      <c r="H84" s="171" t="n"/>
      <c r="I84" s="171" t="n"/>
      <c r="J84" s="172" t="n"/>
    </row>
    <row r="85" ht="20" customHeight="1">
      <c r="A85" s="216" t="inlineStr">
        <is>
          <t xml:space="preserve">  D. Pendidikan &amp; Skill</t>
        </is>
      </c>
      <c r="B85" s="171" t="n"/>
      <c r="C85" s="171" t="n"/>
      <c r="D85" s="171" t="n"/>
      <c r="E85" s="217" t="n">
        <v>33400000</v>
      </c>
      <c r="F85" s="218" t="inlineStr">
        <is>
          <t>18.9%</t>
        </is>
      </c>
      <c r="G85" s="219" t="inlineStr">
        <is>
          <t>Laptop refurb bisa turun 50% dgn donasi in-kind dari perusahaan IT</t>
        </is>
      </c>
      <c r="H85" s="171" t="n"/>
      <c r="I85" s="171" t="n"/>
      <c r="J85" s="172" t="n"/>
    </row>
    <row r="86" ht="20" customHeight="1">
      <c r="A86" s="220" t="inlineStr">
        <is>
          <t xml:space="preserve">  E. Dapur &amp; Operasional</t>
        </is>
      </c>
      <c r="B86" s="171" t="n"/>
      <c r="C86" s="171" t="n"/>
      <c r="D86" s="171" t="n"/>
      <c r="E86" s="221" t="n">
        <v>29975000</v>
      </c>
      <c r="F86" s="222" t="inlineStr">
        <is>
          <t>17.0%</t>
        </is>
      </c>
      <c r="G86" s="223" t="inlineStr">
        <is>
          <t>Buffer 3 bulan. Bulan ke-4 kebun &amp; ternak sudah mulai produksi</t>
        </is>
      </c>
      <c r="H86" s="171" t="n"/>
      <c r="I86" s="171" t="n"/>
      <c r="J86" s="172" t="n"/>
    </row>
    <row r="87" ht="20" customHeight="1">
      <c r="A87" s="224" t="inlineStr">
        <is>
          <t xml:space="preserve">  F. Legalitas &amp; Admin</t>
        </is>
      </c>
      <c r="B87" s="171" t="n"/>
      <c r="C87" s="171" t="n"/>
      <c r="D87" s="171" t="n"/>
      <c r="E87" s="225" t="n">
        <v>13990000</v>
      </c>
      <c r="F87" s="226" t="inlineStr">
        <is>
          <t>7.9%</t>
        </is>
      </c>
      <c r="G87" s="227" t="inlineStr">
        <is>
          <t>NPWP GRATIS, hosting GRATIS (Vercel), BPJS bisa PBI (gratis)</t>
        </is>
      </c>
      <c r="H87" s="171" t="n"/>
      <c r="I87" s="171" t="n"/>
      <c r="J87" s="172" t="n"/>
    </row>
    <row r="88"/>
    <row r="89">
      <c r="A89" s="228" t="inlineStr">
        <is>
          <t>💡 CARA DAPAT BARANG GRATIS / MURAH — DONASI IN-KIND</t>
        </is>
      </c>
      <c r="B89" s="171" t="n"/>
      <c r="C89" s="171" t="n"/>
      <c r="D89" s="171" t="n"/>
      <c r="E89" s="171" t="n"/>
      <c r="F89" s="171" t="n"/>
      <c r="G89" s="171" t="n"/>
      <c r="H89" s="171" t="n"/>
      <c r="I89" s="171" t="n"/>
      <c r="J89" s="172" t="n"/>
    </row>
    <row r="90" ht="18" customHeight="1">
      <c r="A90" s="229" t="n">
        <v>1</v>
      </c>
      <c r="B90" s="230" t="inlineStr">
        <is>
          <t>Laptop &amp; PC</t>
        </is>
      </c>
      <c r="C90" s="231" t="inlineStr">
        <is>
          <t>Post di LinkedIn / IG ajak perusahaan IT donasikan laptop bekas yang masih layak</t>
        </is>
      </c>
      <c r="D90" s="171" t="n"/>
      <c r="E90" s="171" t="n"/>
      <c r="F90" s="171" t="n"/>
      <c r="G90" s="171" t="n"/>
      <c r="H90" s="171" t="n"/>
      <c r="I90" s="171" t="n"/>
      <c r="J90" s="172" t="n"/>
    </row>
    <row r="91" ht="18" customHeight="1">
      <c r="A91" s="232" t="n">
        <v>2</v>
      </c>
      <c r="B91" s="233" t="inlineStr">
        <is>
          <t>Kursi &amp; Meja Sekolah</t>
        </is>
      </c>
      <c r="C91" s="234" t="inlineStr">
        <is>
          <t>Hubungi sekolah yang direnovasi. Sering buang furniture lama</t>
        </is>
      </c>
      <c r="D91" s="171" t="n"/>
      <c r="E91" s="171" t="n"/>
      <c r="F91" s="171" t="n"/>
      <c r="G91" s="171" t="n"/>
      <c r="H91" s="171" t="n"/>
      <c r="I91" s="171" t="n"/>
      <c r="J91" s="172" t="n"/>
    </row>
    <row r="92" ht="18" customHeight="1">
      <c r="A92" s="229" t="n">
        <v>3</v>
      </c>
      <c r="B92" s="230" t="inlineStr">
        <is>
          <t>Buku &amp; ATK</t>
        </is>
      </c>
      <c r="C92" s="231" t="inlineStr">
        <is>
          <t>Minta dari program CSR Gramedia, Erlangga, atau kampus</t>
        </is>
      </c>
      <c r="D92" s="171" t="n"/>
      <c r="E92" s="171" t="n"/>
      <c r="F92" s="171" t="n"/>
      <c r="G92" s="171" t="n"/>
      <c r="H92" s="171" t="n"/>
      <c r="I92" s="171" t="n"/>
      <c r="J92" s="172" t="n"/>
    </row>
    <row r="93" ht="18" customHeight="1">
      <c r="A93" s="232" t="n">
        <v>4</v>
      </c>
      <c r="B93" s="233" t="inlineStr">
        <is>
          <t>Bibit Tanaman</t>
        </is>
      </c>
      <c r="C93" s="234" t="inlineStr">
        <is>
          <t>Dinas Pertanian Bogor sering ada program bibit gratis</t>
        </is>
      </c>
      <c r="D93" s="171" t="n"/>
      <c r="E93" s="171" t="n"/>
      <c r="F93" s="171" t="n"/>
      <c r="G93" s="171" t="n"/>
      <c r="H93" s="171" t="n"/>
      <c r="I93" s="171" t="n"/>
      <c r="J93" s="172" t="n"/>
    </row>
    <row r="94" ht="18" customHeight="1">
      <c r="A94" s="229" t="n">
        <v>5</v>
      </c>
      <c r="B94" s="230" t="inlineStr">
        <is>
          <t>Vaksin Ternak</t>
        </is>
      </c>
      <c r="C94" s="231" t="inlineStr">
        <is>
          <t>Dinas Peternakan ada program vaksin gratis untuk ternak skala kecil</t>
        </is>
      </c>
      <c r="D94" s="171" t="n"/>
      <c r="E94" s="171" t="n"/>
      <c r="F94" s="171" t="n"/>
      <c r="G94" s="171" t="n"/>
      <c r="H94" s="171" t="n"/>
      <c r="I94" s="171" t="n"/>
      <c r="J94" s="172" t="n"/>
    </row>
    <row r="95" ht="18" customHeight="1">
      <c r="A95" s="232" t="n">
        <v>6</v>
      </c>
      <c r="B95" s="233" t="inlineStr">
        <is>
          <t>BPJS Kesehatan</t>
        </is>
      </c>
      <c r="C95" s="234" t="inlineStr">
        <is>
          <t>Daftarkan ke PBI (Penerima Bantuan Iuran) via Dinsos — GRATIS</t>
        </is>
      </c>
      <c r="D95" s="171" t="n"/>
      <c r="E95" s="171" t="n"/>
      <c r="F95" s="171" t="n"/>
      <c r="G95" s="171" t="n"/>
      <c r="H95" s="171" t="n"/>
      <c r="I95" s="171" t="n"/>
      <c r="J95" s="172" t="n"/>
    </row>
    <row r="96" ht="18" customHeight="1">
      <c r="A96" s="229" t="n">
        <v>7</v>
      </c>
      <c r="B96" s="230" t="inlineStr">
        <is>
          <t>Tenaga Ahli</t>
        </is>
      </c>
      <c r="C96" s="231" t="inlineStr">
        <is>
          <t>Rekrut relawan: mahasiswa KKN, fresh graduate, profesional yang mau CSR</t>
        </is>
      </c>
      <c r="D96" s="171" t="n"/>
      <c r="E96" s="171" t="n"/>
      <c r="F96" s="171" t="n"/>
      <c r="G96" s="171" t="n"/>
      <c r="H96" s="171" t="n"/>
      <c r="I96" s="171" t="n"/>
      <c r="J96" s="172" t="n"/>
    </row>
    <row r="97" ht="18" customHeight="1">
      <c r="A97" s="232" t="n">
        <v>8</v>
      </c>
      <c r="B97" s="233" t="inlineStr">
        <is>
          <t>Bahan Bangunan</t>
        </is>
      </c>
      <c r="C97" s="234" t="inlineStr">
        <is>
          <t>Program CSR toko material (Depo Bangunan, Ace Hardware dll) ada program donasi</t>
        </is>
      </c>
      <c r="D97" s="171" t="n"/>
      <c r="E97" s="171" t="n"/>
      <c r="F97" s="171" t="n"/>
      <c r="G97" s="171" t="n"/>
      <c r="H97" s="171" t="n"/>
      <c r="I97" s="171" t="n"/>
      <c r="J97" s="172" t="n"/>
    </row>
  </sheetData>
  <mergeCells count="101">
    <mergeCell ref="A39:E39"/>
    <mergeCell ref="H17:J17"/>
    <mergeCell ref="H69:J69"/>
    <mergeCell ref="H11:J11"/>
    <mergeCell ref="A79:E79"/>
    <mergeCell ref="H22:J22"/>
    <mergeCell ref="H66:J66"/>
    <mergeCell ref="H19:J19"/>
    <mergeCell ref="H75:J75"/>
    <mergeCell ref="G82:J82"/>
    <mergeCell ref="H38:J38"/>
    <mergeCell ref="H44:J44"/>
    <mergeCell ref="A3:J3"/>
    <mergeCell ref="H31:J31"/>
    <mergeCell ref="A63:E63"/>
    <mergeCell ref="H58:J58"/>
    <mergeCell ref="A85:D85"/>
    <mergeCell ref="H21:J21"/>
    <mergeCell ref="H73:J73"/>
    <mergeCell ref="A77:E77"/>
    <mergeCell ref="A5:J5"/>
    <mergeCell ref="H60:J60"/>
    <mergeCell ref="A29:J29"/>
    <mergeCell ref="G85:J85"/>
    <mergeCell ref="A81:J81"/>
    <mergeCell ref="H7:J7"/>
    <mergeCell ref="G84:J84"/>
    <mergeCell ref="H57:J57"/>
    <mergeCell ref="G77:J77"/>
    <mergeCell ref="G86:J86"/>
    <mergeCell ref="H33:J33"/>
    <mergeCell ref="H42:J42"/>
    <mergeCell ref="H35:J35"/>
    <mergeCell ref="A14:E14"/>
    <mergeCell ref="A16:J16"/>
    <mergeCell ref="H67:J67"/>
    <mergeCell ref="H20:J20"/>
    <mergeCell ref="A2:J2"/>
    <mergeCell ref="H59:J59"/>
    <mergeCell ref="H6:J6"/>
    <mergeCell ref="C96:J96"/>
    <mergeCell ref="H46:J46"/>
    <mergeCell ref="C92:J92"/>
    <mergeCell ref="H61:J61"/>
    <mergeCell ref="H70:J70"/>
    <mergeCell ref="H45:J45"/>
    <mergeCell ref="H32:J32"/>
    <mergeCell ref="A83:D83"/>
    <mergeCell ref="H13:J13"/>
    <mergeCell ref="A30:J30"/>
    <mergeCell ref="H47:J47"/>
    <mergeCell ref="C93:J93"/>
    <mergeCell ref="H71:J71"/>
    <mergeCell ref="H24:J24"/>
    <mergeCell ref="C90:J90"/>
    <mergeCell ref="H18:J18"/>
    <mergeCell ref="H76:J76"/>
    <mergeCell ref="G39:J39"/>
    <mergeCell ref="H8:J8"/>
    <mergeCell ref="A87:D87"/>
    <mergeCell ref="H26:J26"/>
    <mergeCell ref="A41:J41"/>
    <mergeCell ref="H10:J10"/>
    <mergeCell ref="H50:J50"/>
    <mergeCell ref="G87:J87"/>
    <mergeCell ref="H55:J55"/>
    <mergeCell ref="H34:J34"/>
    <mergeCell ref="H9:J9"/>
    <mergeCell ref="H49:J49"/>
    <mergeCell ref="H36:J36"/>
    <mergeCell ref="G79:J79"/>
    <mergeCell ref="G51:J51"/>
    <mergeCell ref="A51:E51"/>
    <mergeCell ref="A53:J53"/>
    <mergeCell ref="G63:J63"/>
    <mergeCell ref="C97:J97"/>
    <mergeCell ref="H72:J72"/>
    <mergeCell ref="C94:J94"/>
    <mergeCell ref="H37:J37"/>
    <mergeCell ref="A82:D82"/>
    <mergeCell ref="H12:J12"/>
    <mergeCell ref="G27:J27"/>
    <mergeCell ref="H48:J48"/>
    <mergeCell ref="A27:E27"/>
    <mergeCell ref="A1:J1"/>
    <mergeCell ref="H62:J62"/>
    <mergeCell ref="C95:J95"/>
    <mergeCell ref="H23:J23"/>
    <mergeCell ref="A65:J65"/>
    <mergeCell ref="A84:D84"/>
    <mergeCell ref="H43:J43"/>
    <mergeCell ref="H54:J54"/>
    <mergeCell ref="A89:J89"/>
    <mergeCell ref="C91:J91"/>
    <mergeCell ref="G83:J83"/>
    <mergeCell ref="A86:D86"/>
    <mergeCell ref="H74:J74"/>
    <mergeCell ref="H56:J56"/>
    <mergeCell ref="H68:J68"/>
    <mergeCell ref="H25:J25"/>
    <mergeCell ref="G14:J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4" customHeight="1">
      <c r="A1" s="235" t="inlineStr">
        <is>
          <t>📅 TIMELINE OPERASIONAL 12 BULAN PERTAMA — NAWA CAHAYA</t>
        </is>
      </c>
    </row>
    <row r="2"/>
    <row r="3" ht="24" customHeight="1">
      <c r="A3" s="236" t="inlineStr">
        <is>
          <t>MILESTONE</t>
        </is>
      </c>
      <c r="B3" s="236" t="inlineStr">
        <is>
          <t>BLN 1</t>
        </is>
      </c>
      <c r="C3" s="236" t="inlineStr">
        <is>
          <t>BLN 2</t>
        </is>
      </c>
      <c r="D3" s="236" t="inlineStr">
        <is>
          <t>BLN 3</t>
        </is>
      </c>
      <c r="E3" s="236" t="inlineStr">
        <is>
          <t>BLN 4</t>
        </is>
      </c>
      <c r="F3" s="236" t="inlineStr">
        <is>
          <t>BLN 5</t>
        </is>
      </c>
      <c r="G3" s="236" t="inlineStr">
        <is>
          <t>BLN 6</t>
        </is>
      </c>
      <c r="H3" s="236" t="inlineStr">
        <is>
          <t>BLN 7–9</t>
        </is>
      </c>
      <c r="I3" s="236" t="inlineStr">
        <is>
          <t>BLN 10–12</t>
        </is>
      </c>
    </row>
    <row r="4" ht="22" customHeight="1">
      <c r="A4" s="237" t="inlineStr">
        <is>
          <t>🏛️ LEGALITAS &amp; ADMIN</t>
        </is>
      </c>
      <c r="B4" s="238" t="inlineStr">
        <is>
          <t>Proses notaris + akta</t>
        </is>
      </c>
      <c r="C4" s="238" t="inlineStr">
        <is>
          <t>SKT &amp; NPWP</t>
        </is>
      </c>
      <c r="D4" s="238" t="inlineStr">
        <is>
          <t>Rekening bank buka</t>
        </is>
      </c>
      <c r="E4" s="238" t="inlineStr">
        <is>
          <t>Done ✅</t>
        </is>
      </c>
      <c r="F4" s="239" t="n"/>
      <c r="G4" s="239" t="n"/>
      <c r="H4" s="239" t="n"/>
      <c r="I4" s="240" t="n"/>
      <c r="J4" s="241" t="n"/>
    </row>
    <row r="5" ht="22" customHeight="1">
      <c r="A5" s="242" t="inlineStr">
        <is>
          <t>🏗️ BANGUNAN</t>
        </is>
      </c>
      <c r="B5" s="238" t="inlineStr">
        <is>
          <t>Survey + rancang</t>
        </is>
      </c>
      <c r="C5" s="238" t="inlineStr">
        <is>
          <t>Pembangunan mulai</t>
        </is>
      </c>
      <c r="D5" s="238" t="inlineStr">
        <is>
          <t>Pembangunan selesai</t>
        </is>
      </c>
      <c r="E5" s="238" t="inlineStr">
        <is>
          <t>Anak mulai masuk</t>
        </is>
      </c>
      <c r="F5" s="239" t="n"/>
      <c r="G5" s="239" t="n"/>
      <c r="H5" s="238" t="inlineStr">
        <is>
          <t>Perbaikan</t>
        </is>
      </c>
      <c r="I5" s="243" t="inlineStr">
        <is>
          <t>Upgrade</t>
        </is>
      </c>
      <c r="J5" s="244" t="inlineStr">
        <is>
          <t>Upgrade</t>
        </is>
      </c>
    </row>
    <row r="6" ht="22" customHeight="1">
      <c r="A6" s="245" t="inlineStr">
        <is>
          <t>🌿 KEBUN 1.000m²</t>
        </is>
      </c>
      <c r="B6" s="238" t="inlineStr">
        <is>
          <t>Bersihkan lahan</t>
        </is>
      </c>
      <c r="C6" s="238" t="inlineStr">
        <is>
          <t>Tanam bibit</t>
        </is>
      </c>
      <c r="D6" s="238" t="inlineStr">
        <is>
          <t>Rawat + siram</t>
        </is>
      </c>
      <c r="E6" s="238" t="inlineStr">
        <is>
          <t>Rawat rutin</t>
        </is>
      </c>
      <c r="F6" s="238" t="inlineStr">
        <is>
          <t>Rawat rutin</t>
        </is>
      </c>
      <c r="G6" s="246" t="inlineStr">
        <is>
          <t>Panen pertama</t>
        </is>
      </c>
      <c r="H6" s="238" t="inlineStr">
        <is>
          <t>Tanam ulang</t>
        </is>
      </c>
      <c r="I6" s="247" t="inlineStr">
        <is>
          <t>Panen 2</t>
        </is>
      </c>
      <c r="J6" s="248" t="inlineStr">
        <is>
          <t>Panen 3</t>
        </is>
      </c>
    </row>
    <row r="7" ht="22" customHeight="1">
      <c r="A7" s="249" t="inlineStr">
        <is>
          <t>🐐 TERNAK</t>
        </is>
      </c>
      <c r="B7" s="238" t="inlineStr">
        <is>
          <t>Beli + kandang</t>
        </is>
      </c>
      <c r="C7" s="238" t="inlineStr">
        <is>
          <t>Kambing masuk</t>
        </is>
      </c>
      <c r="D7" s="238" t="inlineStr">
        <is>
          <t>Ayam produksi telur</t>
        </is>
      </c>
      <c r="E7" s="250" t="inlineStr">
        <is>
          <t>Telur harian OK</t>
        </is>
      </c>
      <c r="F7" s="238" t="inlineStr">
        <is>
          <t>Kambing beranak?</t>
        </is>
      </c>
      <c r="G7" s="238" t="inlineStr">
        <is>
          <t>Anak kambing +</t>
        </is>
      </c>
      <c r="H7" s="238" t="inlineStr">
        <is>
          <t>Full produksi</t>
        </is>
      </c>
      <c r="I7" s="243" t="inlineStr">
        <is>
          <t>Jual surplus</t>
        </is>
      </c>
      <c r="J7" s="244" t="inlineStr">
        <is>
          <t>Jual surplus</t>
        </is>
      </c>
    </row>
    <row r="8" ht="22" customHeight="1">
      <c r="A8" s="251" t="inlineStr">
        <is>
          <t>📚 PENDIDIKAN</t>
        </is>
      </c>
      <c r="B8" s="238" t="inlineStr">
        <is>
          <t>Siapkan laptop</t>
        </is>
      </c>
      <c r="C8" s="238" t="inlineStr">
        <is>
          <t>Rekrut tutor</t>
        </is>
      </c>
      <c r="D8" s="238" t="inlineStr">
        <is>
          <t>Kelas mulai</t>
        </is>
      </c>
      <c r="E8" s="238" t="inlineStr">
        <is>
          <t>Paket C jalan</t>
        </is>
      </c>
      <c r="F8" s="238" t="inlineStr">
        <is>
          <t>Skill pertama</t>
        </is>
      </c>
      <c r="G8" s="238" t="inlineStr">
        <is>
          <t>Mid-term check</t>
        </is>
      </c>
      <c r="H8" s="238" t="inlineStr">
        <is>
          <t>Skill ke-2</t>
        </is>
      </c>
      <c r="I8" s="243" t="inlineStr">
        <is>
          <t>Progress report</t>
        </is>
      </c>
      <c r="J8" s="244" t="inlineStr">
        <is>
          <t>Ujian Paket C</t>
        </is>
      </c>
    </row>
    <row r="9" ht="22" customHeight="1">
      <c r="A9" s="252" t="inlineStr">
        <is>
          <t>💰 FUNDRAISING</t>
        </is>
      </c>
      <c r="B9" s="238" t="inlineStr">
        <is>
          <t>Pitch ke 10 donor</t>
        </is>
      </c>
      <c r="C9" s="238" t="inlineStr">
        <is>
          <t>CSR outreach</t>
        </is>
      </c>
      <c r="D9" s="238" t="inlineStr">
        <is>
          <t>Kampanye IG</t>
        </is>
      </c>
      <c r="E9" s="238" t="inlineStr">
        <is>
          <t>Donasi masuk</t>
        </is>
      </c>
      <c r="F9" s="238" t="inlineStr">
        <is>
          <t>Transparansi rpt1</t>
        </is>
      </c>
      <c r="G9" s="238" t="inlineStr">
        <is>
          <t>CSR deal?</t>
        </is>
      </c>
      <c r="H9" s="238" t="inlineStr">
        <is>
          <t>Transparansi rpt2</t>
        </is>
      </c>
      <c r="I9" s="243" t="inlineStr">
        <is>
          <t>Grant apply</t>
        </is>
      </c>
      <c r="J9" s="244" t="inlineStr">
        <is>
          <t>Evaluasi ROI</t>
        </is>
      </c>
    </row>
    <row r="10" ht="22" customHeight="1">
      <c r="A10" s="253" t="inlineStr">
        <is>
          <t>🌐 DIGITAL</t>
        </is>
      </c>
      <c r="B10" s="238" t="inlineStr">
        <is>
          <t>Website setup</t>
        </is>
      </c>
      <c r="C10" s="238" t="inlineStr">
        <is>
          <t>IG aktif</t>
        </is>
      </c>
      <c r="D10" s="238" t="inlineStr">
        <is>
          <t>Konten rutin</t>
        </is>
      </c>
      <c r="E10" s="238" t="inlineStr">
        <is>
          <t>100 followers</t>
        </is>
      </c>
      <c r="F10" s="238" t="inlineStr">
        <is>
          <t>Dashboard live</t>
        </is>
      </c>
      <c r="G10" s="238" t="inlineStr">
        <is>
          <t>Donor portal</t>
        </is>
      </c>
      <c r="H10" s="238" t="inlineStr">
        <is>
          <t>Laporan bulanan</t>
        </is>
      </c>
      <c r="I10" s="243" t="inlineStr">
        <is>
          <t>Viral campaign?</t>
        </is>
      </c>
      <c r="J10" s="244" t="inlineStr">
        <is>
          <t>Annual report</t>
        </is>
      </c>
    </row>
    <row r="11" ht="22" customHeight="1">
      <c r="A11" s="242" t="inlineStr">
        <is>
          <t>📊 TARGET DANA</t>
        </is>
      </c>
      <c r="B11" s="238" t="inlineStr">
        <is>
          <t>Rp 50 Jt</t>
        </is>
      </c>
      <c r="C11" s="238" t="inlineStr">
        <is>
          <t>Rp 75 Jt</t>
        </is>
      </c>
      <c r="D11" s="238" t="inlineStr">
        <is>
          <t>Rp 100 Jt</t>
        </is>
      </c>
      <c r="E11" s="238" t="inlineStr">
        <is>
          <t>Rp 120 Jt</t>
        </is>
      </c>
      <c r="F11" s="238" t="inlineStr">
        <is>
          <t>Rp 140 Jt</t>
        </is>
      </c>
      <c r="G11" s="238" t="inlineStr">
        <is>
          <t>Rp 160 Jt</t>
        </is>
      </c>
      <c r="H11" s="238" t="inlineStr">
        <is>
          <t>Rp 180 Jt</t>
        </is>
      </c>
      <c r="I11" s="243" t="inlineStr">
        <is>
          <t>Rp 200 Jt</t>
        </is>
      </c>
      <c r="J11" s="244" t="inlineStr">
        <is>
          <t>Rp 250 Jt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 ht="52" customHeight="1">
      <c r="A1" s="168" t="inlineStr">
        <is>
          <t>🌿 NAWA CAHAYA — VISI, MISI &amp; FILOSOFI YAYASAN</t>
        </is>
      </c>
    </row>
    <row r="2" ht="22" customHeight="1">
      <c r="A2" s="254" t="inlineStr">
        <is>
          <t>Mencetak generasi mandiri yang berdaya, berkarakter, dan mampu meneruskan rantai kebaikan</t>
        </is>
      </c>
    </row>
    <row r="3"/>
    <row r="4">
      <c r="A4" s="255" t="inlineStr">
        <is>
          <t>🎯 VISI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50" customHeight="1">
      <c r="A5" s="256" t="inlineStr">
        <is>
          <t>"Mencetak generasi mandiri yang berdaya, berkarakter, dan mampu meneruskan rantai kebaikan melalui pendidikan serta pengembangan skill yang berkelanjutan."</t>
        </is>
      </c>
      <c r="B5" s="171" t="n"/>
      <c r="C5" s="171" t="n"/>
      <c r="D5" s="171" t="n"/>
      <c r="E5" s="171" t="n"/>
      <c r="F5" s="171" t="n"/>
      <c r="G5" s="171" t="n"/>
      <c r="H5" s="171" t="n"/>
      <c r="I5" s="171" t="n"/>
      <c r="J5" s="172" t="n"/>
    </row>
    <row r="6"/>
    <row r="7">
      <c r="A7" s="257" t="inlineStr">
        <is>
          <t>🏛️ MISI — 4 PILAR UTAMA</t>
        </is>
      </c>
      <c r="B7" s="171" t="n"/>
      <c r="C7" s="171" t="n"/>
      <c r="D7" s="171" t="n"/>
      <c r="E7" s="171" t="n"/>
      <c r="F7" s="171" t="n"/>
      <c r="G7" s="171" t="n"/>
      <c r="H7" s="171" t="n"/>
      <c r="I7" s="171" t="n"/>
      <c r="J7" s="172" t="n"/>
    </row>
    <row r="8" ht="24" customHeight="1">
      <c r="A8" s="258" t="inlineStr">
        <is>
          <t xml:space="preserve">  💚 KASIH — Mengasihi &amp; Menjaga</t>
        </is>
      </c>
      <c r="B8" s="171" t="n"/>
      <c r="C8" s="171" t="n"/>
      <c r="D8" s="171" t="n"/>
      <c r="E8" s="171" t="n"/>
      <c r="F8" s="171" t="n"/>
      <c r="G8" s="171" t="n"/>
      <c r="H8" s="171" t="n"/>
      <c r="I8" s="171" t="n"/>
      <c r="J8" s="172" t="n"/>
    </row>
    <row r="9" ht="55" customHeight="1">
      <c r="A9" s="259" t="inlineStr">
        <is>
          <t xml:space="preserve">  Menjadi rumah dan sistem pendukung bagi anak-anak yang kehilangan figur pelindung, memastikan mereka tumbuh dalam lingkungan yang aman, suportif, dan penuh kasih. Anak bukan objek belas kasihan — mereka adalah manusia bermartabat yang berhak atas perhatian tulus.</t>
        </is>
      </c>
      <c r="B9" s="171" t="n"/>
      <c r="C9" s="171" t="n"/>
      <c r="D9" s="171" t="n"/>
      <c r="E9" s="171" t="n"/>
      <c r="F9" s="171" t="n"/>
      <c r="G9" s="171" t="n"/>
      <c r="H9" s="171" t="n"/>
      <c r="I9" s="171" t="n"/>
      <c r="J9" s="172" t="n"/>
    </row>
    <row r="10"/>
    <row r="11" ht="24" customHeight="1">
      <c r="A11" s="260" t="inlineStr">
        <is>
          <t xml:space="preserve">  🛡️ MENJAGA — Membentuk &amp; Mendidik</t>
        </is>
      </c>
      <c r="B11" s="171" t="n"/>
      <c r="C11" s="171" t="n"/>
      <c r="D11" s="171" t="n"/>
      <c r="E11" s="171" t="n"/>
      <c r="F11" s="171" t="n"/>
      <c r="G11" s="171" t="n"/>
      <c r="H11" s="171" t="n"/>
      <c r="I11" s="171" t="n"/>
      <c r="J11" s="172" t="n"/>
    </row>
    <row r="12" ht="55" customHeight="1">
      <c r="A12" s="261" t="inlineStr">
        <is>
          <t xml:space="preserve">  Memberikan akses pendidikan formal (Paket C setara SMA) dan soft-skill nyata (bisnis, teknologi, pertanian, kreatif) agar mereka siap bersaing di dunia kerja maupun wirausaha. Bukan sekedar pintar akademik, tapi pintar hidup.</t>
        </is>
      </c>
      <c r="B12" s="171" t="n"/>
      <c r="C12" s="171" t="n"/>
      <c r="D12" s="171" t="n"/>
      <c r="E12" s="171" t="n"/>
      <c r="F12" s="171" t="n"/>
      <c r="G12" s="171" t="n"/>
      <c r="H12" s="171" t="n"/>
      <c r="I12" s="171" t="n"/>
      <c r="J12" s="172" t="n"/>
    </row>
    <row r="13"/>
    <row r="14" ht="24" customHeight="1">
      <c r="A14" s="262" t="inlineStr">
        <is>
          <t xml:space="preserve">  ⚡ MEMBENTUK — Investasi Masa Depan</t>
        </is>
      </c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  <row r="15" ht="55" customHeight="1">
      <c r="A15" s="259" t="inlineStr">
        <is>
          <t xml:space="preserve">  Mengubah paradigma donasi konvensional menjadi 'Donasi Investasi' — di mana setiap rupiah digunakan untuk alat pengembangan diri, modal kemandirian, dan usaha sosial. Anak binaan bukan penerima bantuan pasif; mereka adalah calon entrepreneur yang sedang disiapkan.</t>
        </is>
      </c>
      <c r="B15" s="171" t="n"/>
      <c r="C15" s="171" t="n"/>
      <c r="D15" s="171" t="n"/>
      <c r="E15" s="171" t="n"/>
      <c r="F15" s="171" t="n"/>
      <c r="G15" s="171" t="n"/>
      <c r="H15" s="171" t="n"/>
      <c r="I15" s="171" t="n"/>
      <c r="J15" s="172" t="n"/>
    </row>
    <row r="16"/>
    <row r="17" ht="24" customHeight="1">
      <c r="A17" s="263" t="inlineStr">
        <is>
          <t xml:space="preserve">  🔍 TRANSPARANSI — Kepercayaan Radikal</t>
        </is>
      </c>
      <c r="B17" s="171" t="n"/>
      <c r="C17" s="171" t="n"/>
      <c r="D17" s="171" t="n"/>
      <c r="E17" s="171" t="n"/>
      <c r="F17" s="171" t="n"/>
      <c r="G17" s="171" t="n"/>
      <c r="H17" s="171" t="n"/>
      <c r="I17" s="171" t="n"/>
      <c r="J17" s="172" t="n"/>
    </row>
    <row r="18" ht="55" customHeight="1">
      <c r="A18" s="264" t="inlineStr">
        <is>
          <t xml:space="preserve">  Menjamin kepercayaan donatur melalui sistem pelaporan digital yang terbuka, jujur, dan dapat diakses siapapun kapan saja (24/7). Setiap rupiah yang masuk tercatat dan dilaporkan. Donatur bisa lihat langsung ke mana uang mereka pergi dan dampaknya apa.</t>
        </is>
      </c>
      <c r="B18" s="171" t="n"/>
      <c r="C18" s="171" t="n"/>
      <c r="D18" s="171" t="n"/>
      <c r="E18" s="171" t="n"/>
      <c r="F18" s="171" t="n"/>
      <c r="G18" s="171" t="n"/>
      <c r="H18" s="171" t="n"/>
      <c r="I18" s="171" t="n"/>
      <c r="J18" s="172" t="n"/>
    </row>
    <row r="19"/>
    <row r="20">
      <c r="A20" s="255" t="inlineStr">
        <is>
          <t>💬 FILOSOFI 'DONASI INVESTASI'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65" customHeight="1">
      <c r="A21" s="256" t="inlineStr">
        <is>
          <t>"Di Nawa Cahaya, kami tidak memberikan ikan setiap hari. Kami memberikan alat pancing, mengajarkan cara memancing, dan mendidik mereka cara mengelola kolamnya sendiri.
Donasi Anda bukan untuk biaya makan sekali habis — melainkan investasi untuk skill, alat belajar, dan modal usaha mereka di masa depan.
Kami tidak ingin mencetak generasi pengemis. Kami ingin mencetak generasi penerus."</t>
        </is>
      </c>
      <c r="B21" s="171" t="n"/>
      <c r="C21" s="171" t="n"/>
      <c r="D21" s="171" t="n"/>
      <c r="E21" s="171" t="n"/>
      <c r="F21" s="171" t="n"/>
      <c r="G21" s="171" t="n"/>
      <c r="H21" s="171" t="n"/>
      <c r="I21" s="171" t="n"/>
      <c r="J21" s="172" t="n"/>
    </row>
    <row r="22"/>
    <row r="23">
      <c r="A23" s="265" t="inlineStr">
        <is>
          <t>👤 KISAH PENDIRI — MENGAPA NAWA CAHAYA ADA</t>
        </is>
      </c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2" t="n"/>
    </row>
    <row r="24" ht="120" customHeight="1">
      <c r="A24" s="266" t="inlineStr">
        <is>
          <t>Pendiri Nawa Cahaya bukan dari keluarga mampu. Sejak kelas 3 SMP, orang tua bercerai. Kelas 2 SMA sudah kos sendiri, mandiri tanpa figur pelindung.
Di dunia kuliah dan kerja, ia bertemu orang-orang yang mau membimbing dan memberi kesempatan terlepas dari latar belakangnya. Orang-orang yang melihat potensi, bukan masalah.
Itulah momen yang mengubah hidupnya. Dan itulah yang ingin ia bayar ke depan — menjadi figur itu bagi anak-anak yang belum punya kesempatan yang sama.
Nawa Cahaya lahir bukan dari modal besar, tapi dari keyakinan: "Kalau orang-orang di luar sana bisa mengubah hidup saya, maka saya bisa mengubah hidup mereka."</t>
        </is>
      </c>
      <c r="B24" s="171" t="n"/>
      <c r="C24" s="171" t="n"/>
      <c r="D24" s="171" t="n"/>
      <c r="E24" s="171" t="n"/>
      <c r="F24" s="171" t="n"/>
      <c r="G24" s="171" t="n"/>
      <c r="H24" s="171" t="n"/>
      <c r="I24" s="171" t="n"/>
      <c r="J24" s="172" t="n"/>
    </row>
  </sheetData>
  <mergeCells count="17">
    <mergeCell ref="A1:J1"/>
    <mergeCell ref="A23:J23"/>
    <mergeCell ref="A5:J5"/>
    <mergeCell ref="A14:J14"/>
    <mergeCell ref="A8:J8"/>
    <mergeCell ref="A17:J17"/>
    <mergeCell ref="A9:J9"/>
    <mergeCell ref="A18:J18"/>
    <mergeCell ref="A21:J21"/>
    <mergeCell ref="A12:J12"/>
    <mergeCell ref="A4:J4"/>
    <mergeCell ref="A7:J7"/>
    <mergeCell ref="A15:J15"/>
    <mergeCell ref="A20:J20"/>
    <mergeCell ref="A2:J2"/>
    <mergeCell ref="A24:J24"/>
    <mergeCell ref="A11:J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8" customWidth="1" min="9" max="9"/>
    <col width="8" customWidth="1" min="10" max="10"/>
  </cols>
  <sheetData>
    <row r="1" ht="48" customHeight="1">
      <c r="A1" s="168" t="inlineStr">
        <is>
          <t>🗺️ MASTER PLAN — 2 JALUR MARKET  |  YAYASAN NAWA CAHAYA</t>
        </is>
      </c>
    </row>
    <row r="2" ht="20" customHeight="1">
      <c r="A2" s="267" t="inlineStr">
        <is>
          <t>PLAN A: Rempah Ekspor (Nilai Tinggi, Pasar Internasional)  |  PLAN B: Sayur &amp; Ternak Lokal (Subsidi Yayasan + Pasar Premium Lokal)</t>
        </is>
      </c>
    </row>
    <row r="3"/>
    <row r="4">
      <c r="A4" s="268" t="inlineStr">
        <is>
          <t>🌏 PLAN A — JALUR EKSPOR: REMPAH BERNILAI TINGGI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2" customHeight="1">
      <c r="A5" s="195" t="inlineStr">
        <is>
          <t xml:space="preserve">  Komoditi ini memiliki nilai jual ekspor jauh di atas pasar lokal. Fokus sertifikasi, kualitas internasional, dan jaringan buyer ekspor.</t>
        </is>
      </c>
      <c r="B5" s="171" t="n"/>
      <c r="C5" s="171" t="n"/>
      <c r="D5" s="171" t="n"/>
      <c r="E5" s="171" t="n"/>
      <c r="F5" s="171" t="n"/>
      <c r="G5" s="171" t="n"/>
      <c r="H5" s="171" t="n"/>
      <c r="I5" s="171" t="n"/>
      <c r="J5" s="172" t="n"/>
    </row>
    <row r="6" ht="28" customHeight="1">
      <c r="A6" s="269" t="inlineStr">
        <is>
          <t>Komoditi</t>
        </is>
      </c>
      <c r="B6" s="269" t="inlineStr">
        <is>
          <t>Masa Tanam</t>
        </is>
      </c>
      <c r="C6" s="269" t="inlineStr">
        <is>
          <t>Hasil/Ha</t>
        </is>
      </c>
      <c r="D6" s="269" t="inlineStr">
        <is>
          <t>Harga Lokal</t>
        </is>
      </c>
      <c r="E6" s="269" t="inlineStr">
        <is>
          <t>Harga Ekspor</t>
        </is>
      </c>
      <c r="F6" s="269" t="inlineStr">
        <is>
          <t>Est. Invest</t>
        </is>
      </c>
      <c r="G6" s="269" t="inlineStr">
        <is>
          <t>ROI Ekspor</t>
        </is>
      </c>
      <c r="H6" s="269" t="inlineStr">
        <is>
          <t>Target Negara</t>
        </is>
      </c>
      <c r="I6" s="171" t="n"/>
      <c r="J6" s="172" t="n"/>
    </row>
    <row r="7" ht="20" customHeight="1">
      <c r="A7" s="270" t="inlineStr">
        <is>
          <t>🫚 Jahe Merah</t>
        </is>
      </c>
      <c r="B7" s="271" t="inlineStr">
        <is>
          <t>8–10 bln</t>
        </is>
      </c>
      <c r="C7" s="271" t="inlineStr">
        <is>
          <t>15.000 kg</t>
        </is>
      </c>
      <c r="D7" s="271" t="inlineStr">
        <is>
          <t>Rp 15.000/kg</t>
        </is>
      </c>
      <c r="E7" s="272" t="inlineStr">
        <is>
          <t>Rp 80.000/kg</t>
        </is>
      </c>
      <c r="F7" s="271" t="inlineStr">
        <is>
          <t>± Rp 250 jt</t>
        </is>
      </c>
      <c r="G7" s="273" t="inlineStr">
        <is>
          <t>180–220%</t>
        </is>
      </c>
      <c r="H7" s="274" t="inlineStr">
        <is>
          <t>China, Jepang, Timur Tengah, EU</t>
        </is>
      </c>
      <c r="I7" s="171" t="n"/>
      <c r="J7" s="172" t="n"/>
    </row>
    <row r="8" ht="20" customHeight="1">
      <c r="A8" s="275" t="inlineStr">
        <is>
          <t>🌿 Jahe Biasa</t>
        </is>
      </c>
      <c r="B8" s="276" t="inlineStr">
        <is>
          <t>8–10 bln</t>
        </is>
      </c>
      <c r="C8" s="276" t="inlineStr">
        <is>
          <t>20.000 kg</t>
        </is>
      </c>
      <c r="D8" s="276" t="inlineStr">
        <is>
          <t>Rp 8.000/kg</t>
        </is>
      </c>
      <c r="E8" s="277" t="inlineStr">
        <is>
          <t>Rp 40.000/kg</t>
        </is>
      </c>
      <c r="F8" s="276" t="inlineStr">
        <is>
          <t>± Rp 180 jt</t>
        </is>
      </c>
      <c r="G8" s="278" t="inlineStr">
        <is>
          <t>120–160%</t>
        </is>
      </c>
      <c r="H8" s="279" t="inlineStr">
        <is>
          <t>China, India, Bangladesh</t>
        </is>
      </c>
      <c r="I8" s="171" t="n"/>
      <c r="J8" s="172" t="n"/>
    </row>
    <row r="9" ht="20" customHeight="1">
      <c r="A9" s="270" t="inlineStr">
        <is>
          <t>🌼 Kunyit</t>
        </is>
      </c>
      <c r="B9" s="271" t="inlineStr">
        <is>
          <t>8–10 bln</t>
        </is>
      </c>
      <c r="C9" s="271" t="inlineStr">
        <is>
          <t>15.000 kg</t>
        </is>
      </c>
      <c r="D9" s="271" t="inlineStr">
        <is>
          <t>Rp 5.000/kg</t>
        </is>
      </c>
      <c r="E9" s="272" t="inlineStr">
        <is>
          <t>Rp 35.000/kg</t>
        </is>
      </c>
      <c r="F9" s="271" t="inlineStr">
        <is>
          <t>± Rp 200 jt</t>
        </is>
      </c>
      <c r="G9" s="273" t="inlineStr">
        <is>
          <t>150–180%</t>
        </is>
      </c>
      <c r="H9" s="274" t="inlineStr">
        <is>
          <t>India, EU, USA</t>
        </is>
      </c>
      <c r="I9" s="171" t="n"/>
      <c r="J9" s="172" t="n"/>
    </row>
    <row r="10" ht="20" customHeight="1">
      <c r="A10" s="275" t="inlineStr">
        <is>
          <t>🌶️ Cabai Merah</t>
        </is>
      </c>
      <c r="B10" s="276" t="inlineStr">
        <is>
          <t>3–4 bln</t>
        </is>
      </c>
      <c r="C10" s="276" t="inlineStr">
        <is>
          <t>17.500 kg</t>
        </is>
      </c>
      <c r="D10" s="276" t="inlineStr">
        <is>
          <t>Rp 25.000/kg</t>
        </is>
      </c>
      <c r="E10" s="277" t="inlineStr">
        <is>
          <t>Rp 120.000/kg</t>
        </is>
      </c>
      <c r="F10" s="276" t="inlineStr">
        <is>
          <t>± Rp 200 jt</t>
        </is>
      </c>
      <c r="G10" s="278" t="inlineStr">
        <is>
          <t>200–300%</t>
        </is>
      </c>
      <c r="H10" s="279" t="inlineStr">
        <is>
          <t>Malaysia, SG, Timur Tengah</t>
        </is>
      </c>
      <c r="I10" s="171" t="n"/>
      <c r="J10" s="172" t="n"/>
    </row>
    <row r="11" ht="20" customHeight="1">
      <c r="A11" s="270" t="inlineStr">
        <is>
          <t>🌾 Sereh Wangi</t>
        </is>
      </c>
      <c r="B11" s="271" t="inlineStr">
        <is>
          <t>Perennial 5 thn</t>
        </is>
      </c>
      <c r="C11" s="271" t="inlineStr">
        <is>
          <t>30.000 kg/thn</t>
        </is>
      </c>
      <c r="D11" s="271" t="inlineStr">
        <is>
          <t>Rp 3.000/kg</t>
        </is>
      </c>
      <c r="E11" s="272" t="inlineStr">
        <is>
          <t>Rp 130.000/L minyak</t>
        </is>
      </c>
      <c r="F11" s="271" t="inlineStr">
        <is>
          <t>± Rp 150 jt</t>
        </is>
      </c>
      <c r="G11" s="273" t="inlineStr">
        <is>
          <t>300%+ (thn ke-2)</t>
        </is>
      </c>
      <c r="H11" s="274" t="inlineStr">
        <is>
          <t>China, India, EU, USA</t>
        </is>
      </c>
      <c r="I11" s="171" t="n"/>
      <c r="J11" s="172" t="n"/>
    </row>
    <row r="12" ht="20" customHeight="1">
      <c r="A12" s="275" t="inlineStr">
        <is>
          <t>🌱 Kapulaga</t>
        </is>
      </c>
      <c r="B12" s="276" t="inlineStr">
        <is>
          <t>18–24 bln</t>
        </is>
      </c>
      <c r="C12" s="276" t="inlineStr">
        <is>
          <t>1.500 kg kering</t>
        </is>
      </c>
      <c r="D12" s="276" t="inlineStr">
        <is>
          <t>Rp 150.000/kg</t>
        </is>
      </c>
      <c r="E12" s="277" t="inlineStr">
        <is>
          <t>Rp 400.000/kg</t>
        </is>
      </c>
      <c r="F12" s="276" t="inlineStr">
        <is>
          <t>± Rp 320 jt</t>
        </is>
      </c>
      <c r="G12" s="278" t="inlineStr">
        <is>
          <t>400%+ (thn ke-3)</t>
        </is>
      </c>
      <c r="H12" s="279" t="inlineStr">
        <is>
          <t>India, Arab Saudi, EU</t>
        </is>
      </c>
      <c r="I12" s="171" t="n"/>
      <c r="J12" s="172" t="n"/>
    </row>
    <row r="13"/>
    <row r="14">
      <c r="A14" s="280" t="inlineStr">
        <is>
          <t>🏪 PLAN B — JALUR LOKAL: SAYUR &amp; TERNAK UNTUK DAPUR YAYASAN &amp; PASAR PREMIUM</t>
        </is>
      </c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  <row r="15" ht="22" customHeight="1">
      <c r="A15" s="281" t="inlineStr">
        <is>
          <t xml:space="preserve">  Komoditi ini menjamin kebutuhan pangan yayasan terpenuhi GRATIS + surplus dijual ke resto/hotel/pasar. Subsidi operasional yayasan.</t>
        </is>
      </c>
      <c r="B15" s="171" t="n"/>
      <c r="C15" s="171" t="n"/>
      <c r="D15" s="171" t="n"/>
      <c r="E15" s="171" t="n"/>
      <c r="F15" s="171" t="n"/>
      <c r="G15" s="171" t="n"/>
      <c r="H15" s="171" t="n"/>
      <c r="I15" s="171" t="n"/>
      <c r="J15" s="172" t="n"/>
    </row>
    <row r="16" ht="28" customHeight="1">
      <c r="A16" s="282" t="inlineStr">
        <is>
          <t>Komoditi</t>
        </is>
      </c>
      <c r="B16" s="282" t="inlineStr">
        <is>
          <t>Siklus</t>
        </is>
      </c>
      <c r="C16" s="282" t="inlineStr">
        <is>
          <t>Kapasitas</t>
        </is>
      </c>
      <c r="D16" s="282" t="inlineStr">
        <is>
          <t>Harga Pasar</t>
        </is>
      </c>
      <c r="E16" s="282" t="inlineStr">
        <is>
          <t>Harga Resto/Hotel</t>
        </is>
      </c>
      <c r="F16" s="282" t="inlineStr">
        <is>
          <t>Est. Invest</t>
        </is>
      </c>
      <c r="G16" s="282" t="inlineStr">
        <is>
          <t>Subsidi Dapur</t>
        </is>
      </c>
      <c r="H16" s="282" t="inlineStr">
        <is>
          <t>Target Lokal</t>
        </is>
      </c>
      <c r="I16" s="171" t="n"/>
      <c r="J16" s="172" t="n"/>
    </row>
    <row r="17" ht="20" customHeight="1">
      <c r="A17" s="283" t="inlineStr">
        <is>
          <t>🍅 Tomat Cherry &amp; Beef</t>
        </is>
      </c>
      <c r="B17" s="284" t="inlineStr">
        <is>
          <t>3–4 bln</t>
        </is>
      </c>
      <c r="C17" s="284" t="inlineStr">
        <is>
          <t>25.000 kg</t>
        </is>
      </c>
      <c r="D17" s="284" t="inlineStr">
        <is>
          <t>Rp 8.000/kg</t>
        </is>
      </c>
      <c r="E17" s="126" t="inlineStr">
        <is>
          <t>Rp 12.000–25.000/kg</t>
        </is>
      </c>
      <c r="F17" s="284" t="inlineStr">
        <is>
          <t>± Rp 200 jt</t>
        </is>
      </c>
      <c r="G17" s="284" t="inlineStr">
        <is>
          <t>20 kg/mgg</t>
        </is>
      </c>
      <c r="H17" s="285" t="inlineStr">
        <is>
          <t>Restoran Italia, pizza, bar cocktail</t>
        </is>
      </c>
      <c r="I17" s="171" t="n"/>
      <c r="J17" s="172" t="n"/>
    </row>
    <row r="18" ht="20" customHeight="1">
      <c r="A18" s="286" t="inlineStr">
        <is>
          <t>🥬 Sayur Mix Resto</t>
        </is>
      </c>
      <c r="B18" s="287" t="inlineStr">
        <is>
          <t>21–90 hari</t>
        </is>
      </c>
      <c r="C18" s="287" t="inlineStr">
        <is>
          <t>Var. 30–600 kg</t>
        </is>
      </c>
      <c r="D18" s="287" t="inlineStr">
        <is>
          <t>Rp 4.000–15.000</t>
        </is>
      </c>
      <c r="E18" s="288" t="inlineStr">
        <is>
          <t>Rp 15.000–80.000/kg</t>
        </is>
      </c>
      <c r="F18" s="287" t="inlineStr">
        <is>
          <t>± Rp 193 jt</t>
        </is>
      </c>
      <c r="G18" s="287" t="inlineStr">
        <is>
          <t>50 kg/mgg mix</t>
        </is>
      </c>
      <c r="H18" s="289" t="inlineStr">
        <is>
          <t>Hotel, café, bar, fine dining</t>
        </is>
      </c>
      <c r="I18" s="171" t="n"/>
      <c r="J18" s="172" t="n"/>
    </row>
    <row r="19" ht="20" customHeight="1">
      <c r="A19" s="283" t="inlineStr">
        <is>
          <t>🐄 Sapi 10 Ekor</t>
        </is>
      </c>
      <c r="B19" s="284" t="inlineStr">
        <is>
          <t>6 bln</t>
        </is>
      </c>
      <c r="C19" s="284" t="inlineStr">
        <is>
          <t>450 kg/ekor</t>
        </is>
      </c>
      <c r="D19" s="284" t="inlineStr">
        <is>
          <t>Rp 100.000/kg</t>
        </is>
      </c>
      <c r="E19" s="126" t="inlineStr">
        <is>
          <t>Rp 130.000/kg karkas</t>
        </is>
      </c>
      <c r="F19" s="284" t="inlineStr">
        <is>
          <t>± Rp 290 jt</t>
        </is>
      </c>
      <c r="G19" s="284" t="inlineStr">
        <is>
          <t>5 kg/mgg daging</t>
        </is>
      </c>
      <c r="H19" s="285" t="inlineStr">
        <is>
          <t>Pasar lokal, warung, dapur yayasan</t>
        </is>
      </c>
      <c r="I19" s="171" t="n"/>
      <c r="J19" s="172" t="n"/>
    </row>
    <row r="20" ht="20" customHeight="1">
      <c r="A20" s="286" t="inlineStr">
        <is>
          <t>🐷 Babi 10 Ekor</t>
        </is>
      </c>
      <c r="B20" s="287" t="inlineStr">
        <is>
          <t>5 bln</t>
        </is>
      </c>
      <c r="C20" s="287" t="inlineStr">
        <is>
          <t>110 kg/ekor</t>
        </is>
      </c>
      <c r="D20" s="287" t="inlineStr">
        <is>
          <t>Rp 35.000/kg</t>
        </is>
      </c>
      <c r="E20" s="288" t="inlineStr">
        <is>
          <t>Rp 45.000/kg</t>
        </is>
      </c>
      <c r="F20" s="287" t="inlineStr">
        <is>
          <t>± Rp 130 jt</t>
        </is>
      </c>
      <c r="G20" s="287" t="inlineStr">
        <is>
          <t>—</t>
        </is>
      </c>
      <c r="H20" s="289" t="inlineStr">
        <is>
          <t>Restoran non-Muslim, hotel, catering</t>
        </is>
      </c>
      <c r="I20" s="171" t="n"/>
      <c r="J20" s="172" t="n"/>
    </row>
    <row r="21"/>
    <row r="22"/>
    <row r="23">
      <c r="A23" s="173" t="inlineStr">
        <is>
          <t>💡 FILOSOFI &amp; STRATEGI 2 JALUR</t>
        </is>
      </c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2" t="n"/>
    </row>
    <row r="24" ht="48" customHeight="1">
      <c r="A24" s="290" t="inlineStr">
        <is>
          <t xml:space="preserve">  🌏 PLAN A — Ekspor</t>
        </is>
      </c>
      <c r="B24" s="171" t="n"/>
      <c r="C24" s="171" t="n"/>
      <c r="D24" s="291" t="inlineStr">
        <is>
          <t>Rempah memiliki harga pasar internasional jauh di atas lokal. Jahe merah ekspor Rp 80.000/kg vs lokal Rp 15.000/kg — 5× lipat! Ini adalah ENGINE UTAMA profit dan dampak ekonomi jangka panjang.</t>
        </is>
      </c>
      <c r="E24" s="171" t="n"/>
      <c r="F24" s="171" t="n"/>
      <c r="G24" s="171" t="n"/>
      <c r="H24" s="171" t="n"/>
      <c r="I24" s="171" t="n"/>
      <c r="J24" s="172" t="n"/>
    </row>
    <row r="25" ht="48" customHeight="1">
      <c r="A25" s="292" t="inlineStr">
        <is>
          <t xml:space="preserve">  🏪 PLAN B — Lokal Premium</t>
        </is>
      </c>
      <c r="B25" s="171" t="n"/>
      <c r="C25" s="171" t="n"/>
      <c r="D25" s="293" t="inlineStr">
        <is>
          <t>Sayur dan ternak tidak feasible untuk ekspor (volume kecil, logistik mahal). Tapi mereka VITAL untuk: (1) kurangi biaya makan anak binaan, (2) subsidi operasional yayasan, (3) memberi kerja lokal berkelanjutan.</t>
        </is>
      </c>
      <c r="E25" s="171" t="n"/>
      <c r="F25" s="171" t="n"/>
      <c r="G25" s="171" t="n"/>
      <c r="H25" s="171" t="n"/>
      <c r="I25" s="171" t="n"/>
      <c r="J25" s="172" t="n"/>
    </row>
    <row r="26" ht="48" customHeight="1">
      <c r="A26" s="294" t="inlineStr">
        <is>
          <t xml:space="preserve">  ⚖️ Sinergi 2 Plan</t>
        </is>
      </c>
      <c r="B26" s="171" t="n"/>
      <c r="C26" s="171" t="n"/>
      <c r="D26" s="295" t="inlineStr">
        <is>
          <t>Kotoran sapi → pupuk organik untuk kebun rempah &amp; sayur (gratis!). Sisa sayur &amp; kulit buah → pakan sapi &amp; babi (gratis!). Limbah rempah → kompos kebun sayur. Ini ekosistem CIRCULAR ECONOMY.</t>
        </is>
      </c>
      <c r="E26" s="171" t="n"/>
      <c r="F26" s="171" t="n"/>
      <c r="G26" s="171" t="n"/>
      <c r="H26" s="171" t="n"/>
      <c r="I26" s="171" t="n"/>
      <c r="J26" s="172" t="n"/>
    </row>
    <row r="27" ht="48" customHeight="1">
      <c r="A27" s="296" t="inlineStr">
        <is>
          <t xml:space="preserve">  💰 Alur Dana</t>
        </is>
      </c>
      <c r="B27" s="171" t="n"/>
      <c r="C27" s="171" t="n"/>
      <c r="D27" s="297" t="inlineStr">
        <is>
          <t>Ekspor rempah → revenue besar masuk → bayar operasional &amp; advance gaji. Sayur &amp; ternak → kurangi biaya pengeluaran yayasan. Bersama: yayasan lebih mandiri finansial, anak binaan terpenuhi kebutuhannya.</t>
        </is>
      </c>
      <c r="E27" s="171" t="n"/>
      <c r="F27" s="171" t="n"/>
      <c r="G27" s="171" t="n"/>
      <c r="H27" s="171" t="n"/>
      <c r="I27" s="171" t="n"/>
      <c r="J27" s="172" t="n"/>
    </row>
  </sheetData>
  <mergeCells count="27">
    <mergeCell ref="A25:C25"/>
    <mergeCell ref="A5:J5"/>
    <mergeCell ref="A23:J23"/>
    <mergeCell ref="A14:J14"/>
    <mergeCell ref="D25:J25"/>
    <mergeCell ref="A27:C27"/>
    <mergeCell ref="A4:J4"/>
    <mergeCell ref="D24:J24"/>
    <mergeCell ref="H17:J17"/>
    <mergeCell ref="H11:J11"/>
    <mergeCell ref="A26:C26"/>
    <mergeCell ref="H7:J7"/>
    <mergeCell ref="H16:J16"/>
    <mergeCell ref="D26:J26"/>
    <mergeCell ref="H19:J19"/>
    <mergeCell ref="A15:J15"/>
    <mergeCell ref="H12:J12"/>
    <mergeCell ref="A1:J1"/>
    <mergeCell ref="H18:J18"/>
    <mergeCell ref="H8:J8"/>
    <mergeCell ref="A24:C24"/>
    <mergeCell ref="D27:J27"/>
    <mergeCell ref="H20:J20"/>
    <mergeCell ref="H10:J10"/>
    <mergeCell ref="H9:J9"/>
    <mergeCell ref="A2:J2"/>
    <mergeCell ref="H6:J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  <col width="9" customWidth="1" min="12" max="12"/>
  </cols>
  <sheetData>
    <row r="1" ht="48" customHeight="1">
      <c r="A1" s="298" t="inlineStr">
        <is>
          <t>⚖️ SISTEM BAGI HASIL — PAKET DONASI INVESTASI PERTANIAN NAWA CAHAYA</t>
        </is>
      </c>
    </row>
    <row r="2" ht="18" customHeight="1">
      <c r="A2" s="169" t="inlineStr">
        <is>
          <t>Model Fair Share · Pemberdayaan Pekerja Lokal · Transparansi Penuh · Donatur + Komunitas + Anak Binaan</t>
        </is>
      </c>
    </row>
    <row r="3"/>
    <row r="4">
      <c r="A4" s="299" t="inlineStr">
        <is>
          <t>📊 ALUR PEMBAGIAN HASIL PANEN (setelah penjualan)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 ht="24" customHeight="1">
      <c r="A5" s="300" t="inlineStr">
        <is>
          <t>Langkah</t>
        </is>
      </c>
      <c r="B5" s="300" t="inlineStr">
        <is>
          <t>Komponen</t>
        </is>
      </c>
      <c r="C5" s="300" t="inlineStr">
        <is>
          <t>Porsi</t>
        </is>
      </c>
      <c r="D5" s="300" t="inlineStr">
        <is>
          <t>Penjelasan</t>
        </is>
      </c>
      <c r="E5" s="171" t="n"/>
      <c r="F5" s="171" t="n"/>
      <c r="G5" s="171" t="n"/>
      <c r="H5" s="171" t="n"/>
      <c r="I5" s="171" t="n"/>
      <c r="J5" s="171" t="n"/>
      <c r="K5" s="171" t="n"/>
      <c r="L5" s="172" t="n"/>
    </row>
    <row r="6" ht="22" customHeight="1">
      <c r="A6" s="301" t="inlineStr">
        <is>
          <t>STEP 1</t>
        </is>
      </c>
      <c r="B6" s="302" t="inlineStr">
        <is>
          <t>Hasil Penjualan Total</t>
        </is>
      </c>
      <c r="C6" s="303" t="inlineStr">
        <is>
          <t>100%</t>
        </is>
      </c>
      <c r="D6" s="304" t="inlineStr">
        <is>
          <t>Pendapatan kotor dari penjualan lokal + ekspor</t>
        </is>
      </c>
      <c r="E6" s="171" t="n"/>
      <c r="F6" s="171" t="n"/>
      <c r="G6" s="171" t="n"/>
      <c r="H6" s="171" t="n"/>
      <c r="I6" s="171" t="n"/>
      <c r="J6" s="171" t="n"/>
      <c r="K6" s="171" t="n"/>
      <c r="L6" s="172" t="n"/>
    </row>
    <row r="7" ht="22" customHeight="1">
      <c r="A7" s="305" t="inlineStr">
        <is>
          <t>STEP 2</t>
        </is>
      </c>
      <c r="B7" s="306" t="inlineStr">
        <is>
          <t>Potong Kebutuhan Dapur Yayasan</t>
        </is>
      </c>
      <c r="C7" s="307" t="inlineStr">
        <is>
          <t>Prioritas 1</t>
        </is>
      </c>
      <c r="D7" s="308" t="inlineStr">
        <is>
          <t>Bahan makanan 3× sehari untuk anak binaan. Dihitung aktual tiap bulan</t>
        </is>
      </c>
      <c r="E7" s="171" t="n"/>
      <c r="F7" s="171" t="n"/>
      <c r="G7" s="171" t="n"/>
      <c r="H7" s="171" t="n"/>
      <c r="I7" s="171" t="n"/>
      <c r="J7" s="171" t="n"/>
      <c r="K7" s="171" t="n"/>
      <c r="L7" s="172" t="n"/>
    </row>
    <row r="8" ht="22" customHeight="1">
      <c r="A8" s="309" t="inlineStr">
        <is>
          <t>STEP 3</t>
        </is>
      </c>
      <c r="B8" s="310" t="inlineStr">
        <is>
          <t>Sisa Bersih = Dasar Bagi Hasil</t>
        </is>
      </c>
      <c r="C8" s="311" t="inlineStr">
        <is>
          <t>100% sisa</t>
        </is>
      </c>
      <c r="D8" s="312" t="inlineStr">
        <is>
          <t>Setelah dapur terpenuhi, sisa ini yang dibagi sesuai porsi</t>
        </is>
      </c>
      <c r="E8" s="171" t="n"/>
      <c r="F8" s="171" t="n"/>
      <c r="G8" s="171" t="n"/>
      <c r="H8" s="171" t="n"/>
      <c r="I8" s="171" t="n"/>
      <c r="J8" s="171" t="n"/>
      <c r="K8" s="171" t="n"/>
      <c r="L8" s="172" t="n"/>
    </row>
    <row r="9"/>
    <row r="10" ht="22" customHeight="1">
      <c r="A10" s="313" t="inlineStr">
        <is>
          <t>PORSI A</t>
        </is>
      </c>
      <c r="B10" s="314" t="inlineStr">
        <is>
          <t>🏛️ Yayasan Nawa Cahaya</t>
        </is>
      </c>
      <c r="C10" s="315" t="inlineStr">
        <is>
          <t>40%</t>
        </is>
      </c>
      <c r="D10" s="316" t="inlineStr">
        <is>
          <t>Operasional yayasan, program anak binaan, maintenance lahan, contingency</t>
        </is>
      </c>
      <c r="E10" s="171" t="n"/>
      <c r="F10" s="171" t="n"/>
      <c r="G10" s="171" t="n"/>
      <c r="H10" s="171" t="n"/>
      <c r="I10" s="171" t="n"/>
      <c r="J10" s="171" t="n"/>
      <c r="K10" s="171" t="n"/>
      <c r="L10" s="172" t="n"/>
    </row>
    <row r="11" ht="22" customHeight="1">
      <c r="A11" s="301" t="inlineStr">
        <is>
          <t>PORSI B</t>
        </is>
      </c>
      <c r="B11" s="302" t="inlineStr">
        <is>
          <t>💰 Donatur / Investor</t>
        </is>
      </c>
      <c r="C11" s="303" t="inlineStr">
        <is>
          <t>10%</t>
        </is>
      </c>
      <c r="D11" s="304" t="inlineStr">
        <is>
          <t>Return investasi donatur. Dikirim tiap siklus panen via transfer bank</t>
        </is>
      </c>
      <c r="E11" s="171" t="n"/>
      <c r="F11" s="171" t="n"/>
      <c r="G11" s="171" t="n"/>
      <c r="H11" s="171" t="n"/>
      <c r="I11" s="171" t="n"/>
      <c r="J11" s="171" t="n"/>
      <c r="K11" s="171" t="n"/>
      <c r="L11" s="172" t="n"/>
    </row>
    <row r="12" ht="22" customHeight="1">
      <c r="A12" s="317" t="inlineStr">
        <is>
          <t>PORSI C</t>
        </is>
      </c>
      <c r="B12" s="318" t="inlineStr">
        <is>
          <t>👷 Tenaga Lokal (Pembimbing, Pengelola, Pekerja)</t>
        </is>
      </c>
      <c r="C12" s="319" t="inlineStr">
        <is>
          <t>40%</t>
        </is>
      </c>
      <c r="D12" s="320" t="inlineStr">
        <is>
          <t>KUNCI: Gaji advance dibayar dulu selama masa tanam, dipotong dari porsi ini saat panen</t>
        </is>
      </c>
      <c r="E12" s="171" t="n"/>
      <c r="F12" s="171" t="n"/>
      <c r="G12" s="171" t="n"/>
      <c r="H12" s="171" t="n"/>
      <c r="I12" s="171" t="n"/>
      <c r="J12" s="171" t="n"/>
      <c r="K12" s="171" t="n"/>
      <c r="L12" s="172" t="n"/>
    </row>
    <row r="13" ht="22" customHeight="1">
      <c r="A13" s="321" t="inlineStr">
        <is>
          <t>PORSI D</t>
        </is>
      </c>
      <c r="B13" s="322" t="inlineStr">
        <is>
          <t>👦 Anak Binaan</t>
        </is>
      </c>
      <c r="C13" s="323" t="inlineStr">
        <is>
          <t>1–5%</t>
        </is>
      </c>
      <c r="D13" s="324" t="inlineStr">
        <is>
          <t>Tergantung checklist penguasaan skill fisik. Makin banyak skill = makin besar porsi</t>
        </is>
      </c>
      <c r="E13" s="171" t="n"/>
      <c r="F13" s="171" t="n"/>
      <c r="G13" s="171" t="n"/>
      <c r="H13" s="171" t="n"/>
      <c r="I13" s="171" t="n"/>
      <c r="J13" s="171" t="n"/>
      <c r="K13" s="171" t="n"/>
      <c r="L13" s="172" t="n"/>
    </row>
    <row r="14" ht="22" customHeight="1">
      <c r="A14" s="325" t="inlineStr">
        <is>
          <t>PORSI E</t>
        </is>
      </c>
      <c r="B14" s="326" t="inlineStr">
        <is>
          <t>🎯 Fee Manajemen</t>
        </is>
      </c>
      <c r="C14" s="327" t="inlineStr">
        <is>
          <t>10%</t>
        </is>
      </c>
      <c r="D14" s="328" t="inlineStr">
        <is>
          <t>Biaya manajemen program, audit, pelaporan, koordinasi ekspor</t>
        </is>
      </c>
      <c r="E14" s="171" t="n"/>
      <c r="F14" s="171" t="n"/>
      <c r="G14" s="171" t="n"/>
      <c r="H14" s="171" t="n"/>
      <c r="I14" s="171" t="n"/>
      <c r="J14" s="171" t="n"/>
      <c r="K14" s="171" t="n"/>
      <c r="L14" s="172" t="n"/>
    </row>
    <row r="15"/>
    <row r="16">
      <c r="A16" s="329" t="inlineStr">
        <is>
          <t>💡 MEKANISME GAJI ADVANCE (Sistem Potong Hasil — Rasa Memiliki Tinggi)</t>
        </is>
      </c>
      <c r="B16" s="171" t="n"/>
      <c r="C16" s="171" t="n"/>
      <c r="D16" s="171" t="n"/>
      <c r="E16" s="171" t="n"/>
      <c r="F16" s="171" t="n"/>
      <c r="G16" s="171" t="n"/>
      <c r="H16" s="171" t="n"/>
      <c r="I16" s="171" t="n"/>
      <c r="J16" s="171" t="n"/>
      <c r="K16" s="171" t="n"/>
      <c r="L16" s="172" t="n"/>
    </row>
    <row r="17" ht="52" customHeight="1">
      <c r="A17" s="330" t="inlineStr">
        <is>
          <t>1️⃣</t>
        </is>
      </c>
      <c r="B17" s="331" t="inlineStr">
        <is>
          <t>Gaji Dibayar Selama Proses Tanam</t>
        </is>
      </c>
      <c r="C17" s="171" t="n"/>
      <c r="D17" s="171" t="n"/>
      <c r="E17" s="332" t="inlineStr">
        <is>
          <t>Pekerja lokal menerima gaji/upah normal setiap bulan sejak lahan dibuka sampai panen. Yayasan 'meminjamkan' dana ini dari modal operasional / donasi.</t>
        </is>
      </c>
      <c r="F17" s="171" t="n"/>
      <c r="G17" s="171" t="n"/>
      <c r="H17" s="171" t="n"/>
      <c r="I17" s="171" t="n"/>
      <c r="J17" s="171" t="n"/>
      <c r="K17" s="171" t="n"/>
      <c r="L17" s="172" t="n"/>
    </row>
    <row r="18" ht="52" customHeight="1">
      <c r="A18" s="333" t="inlineStr">
        <is>
          <t>2️⃣</t>
        </is>
      </c>
      <c r="B18" s="334" t="inlineStr">
        <is>
          <t>Catat sebagai 'Pinjaman Lunak' per Pekerja</t>
        </is>
      </c>
      <c r="C18" s="171" t="n"/>
      <c r="D18" s="171" t="n"/>
      <c r="E18" s="335" t="inlineStr">
        <is>
          <t>Setiap pembayaran gaji dicatat di buku kas yayasan sebagai advance payment. Nominal dicatat per nama pekerja secara transparan.</t>
        </is>
      </c>
      <c r="F18" s="171" t="n"/>
      <c r="G18" s="171" t="n"/>
      <c r="H18" s="171" t="n"/>
      <c r="I18" s="171" t="n"/>
      <c r="J18" s="171" t="n"/>
      <c r="K18" s="171" t="n"/>
      <c r="L18" s="172" t="n"/>
    </row>
    <row r="19" ht="52" customHeight="1">
      <c r="A19" s="336" t="inlineStr">
        <is>
          <t>3️⃣</t>
        </is>
      </c>
      <c r="B19" s="337" t="inlineStr">
        <is>
          <t>Saat Panen — Hitung Porsi 40% Tenaga</t>
        </is>
      </c>
      <c r="C19" s="171" t="n"/>
      <c r="D19" s="171" t="n"/>
      <c r="E19" s="338" t="inlineStr">
        <is>
          <t>Dari hasil bersih, hitung 40% untuk kelompok tenaga. Dibagi proporsional berdasarkan jumlah HOK (hari orang kerja) masing-masing.</t>
        </is>
      </c>
      <c r="F19" s="171" t="n"/>
      <c r="G19" s="171" t="n"/>
      <c r="H19" s="171" t="n"/>
      <c r="I19" s="171" t="n"/>
      <c r="J19" s="171" t="n"/>
      <c r="K19" s="171" t="n"/>
      <c r="L19" s="172" t="n"/>
    </row>
    <row r="20" ht="52" customHeight="1">
      <c r="A20" s="339" t="inlineStr">
        <is>
          <t>4️⃣</t>
        </is>
      </c>
      <c r="B20" s="340" t="inlineStr">
        <is>
          <t>Potong Gaji Advance yang Sudah Diterima</t>
        </is>
      </c>
      <c r="C20" s="171" t="n"/>
      <c r="D20" s="171" t="n"/>
      <c r="E20" s="341" t="inlineStr">
        <is>
          <t>Porsi masing-masing pekerja dikurangi jumlah gaji yang sudah diterima selama masa tanam. Sisa = BONUS panen yang diterima tunai.</t>
        </is>
      </c>
      <c r="F20" s="171" t="n"/>
      <c r="G20" s="171" t="n"/>
      <c r="H20" s="171" t="n"/>
      <c r="I20" s="171" t="n"/>
      <c r="J20" s="171" t="n"/>
      <c r="K20" s="171" t="n"/>
      <c r="L20" s="172" t="n"/>
    </row>
    <row r="21" ht="52" customHeight="1">
      <c r="A21" s="342" t="inlineStr">
        <is>
          <t>5️⃣</t>
        </is>
      </c>
      <c r="B21" s="343" t="inlineStr">
        <is>
          <t>Jika Porsi &lt; Gaji Advance (Gagal Panen)</t>
        </is>
      </c>
      <c r="C21" s="171" t="n"/>
      <c r="D21" s="171" t="n"/>
      <c r="E21" s="344" t="inlineStr">
        <is>
          <t>Selisih tidak ditagih! Ini risiko ditanggung bersama. Sistem ini mendorong pekerja jaga panen dengan baik — karena bonus mereka bergantung pada hasil.</t>
        </is>
      </c>
      <c r="F21" s="171" t="n"/>
      <c r="G21" s="171" t="n"/>
      <c r="H21" s="171" t="n"/>
      <c r="I21" s="171" t="n"/>
      <c r="J21" s="171" t="n"/>
      <c r="K21" s="171" t="n"/>
      <c r="L21" s="172" t="n"/>
    </row>
    <row r="22"/>
    <row r="23">
      <c r="A23" s="345" t="inlineStr">
        <is>
          <t>👦 CHECKLIST PENGUASAAN SKILL FISIK ANAK BINAAN (Penentuan Porsi 1–5%)</t>
        </is>
      </c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1" t="n"/>
      <c r="K23" s="171" t="n"/>
      <c r="L23" s="172" t="n"/>
    </row>
    <row r="24">
      <c r="A24" s="346" t="inlineStr">
        <is>
          <t xml:space="preserve">  Anak binaan mendapat porsi sesuai jumlah skill yang dikuasai dan diverifikasi. Makin aktif terlibat = makin besar bagian. Ini mendidik tanggung jawab dan kerja keras.</t>
        </is>
      </c>
      <c r="B24" s="171" t="n"/>
      <c r="C24" s="171" t="n"/>
      <c r="D24" s="171" t="n"/>
      <c r="E24" s="171" t="n"/>
      <c r="F24" s="171" t="n"/>
      <c r="G24" s="171" t="n"/>
      <c r="H24" s="171" t="n"/>
      <c r="I24" s="171" t="n"/>
      <c r="J24" s="171" t="n"/>
      <c r="K24" s="171" t="n"/>
      <c r="L24" s="172" t="n"/>
    </row>
    <row r="25">
      <c r="A25" s="347" t="inlineStr">
        <is>
          <t>No</t>
        </is>
      </c>
      <c r="B25" s="347" t="inlineStr">
        <is>
          <t>Skill / Kompetensi</t>
        </is>
      </c>
      <c r="C25" s="347" t="inlineStr">
        <is>
          <t>Level</t>
        </is>
      </c>
      <c r="D25" s="347" t="inlineStr">
        <is>
          <t>Cara Verifikasi</t>
        </is>
      </c>
      <c r="E25" s="171" t="n"/>
      <c r="F25" s="171" t="n"/>
      <c r="G25" s="171" t="n"/>
      <c r="H25" s="171" t="n"/>
      <c r="I25" s="171" t="n"/>
      <c r="J25" s="172" t="n"/>
      <c r="K25" s="347" t="inlineStr">
        <is>
          <t>Tambahan Porsi (%)</t>
        </is>
      </c>
      <c r="L25" s="172" t="n"/>
    </row>
    <row r="26" ht="20" customHeight="1">
      <c r="A26" s="348" t="n">
        <v>1</v>
      </c>
      <c r="B26" s="349" t="inlineStr">
        <is>
          <t>Menyiapkan lahan &amp; bedengan sendiri</t>
        </is>
      </c>
      <c r="C26" s="350" t="inlineStr">
        <is>
          <t>Dasar</t>
        </is>
      </c>
      <c r="D26" s="351" t="inlineStr">
        <is>
          <t>Pengawas verifikasi langsung di lapang</t>
        </is>
      </c>
      <c r="E26" s="171" t="n"/>
      <c r="F26" s="171" t="n"/>
      <c r="G26" s="171" t="n"/>
      <c r="H26" s="171" t="n"/>
      <c r="I26" s="171" t="n"/>
      <c r="J26" s="171" t="n"/>
      <c r="K26" s="352" t="inlineStr">
        <is>
          <t>0.3%</t>
        </is>
      </c>
      <c r="L26" s="172" t="n"/>
    </row>
    <row r="27" ht="20" customHeight="1">
      <c r="A27" s="353" t="n">
        <v>2</v>
      </c>
      <c r="B27" s="354" t="inlineStr">
        <is>
          <t>Menanam bibit dengan benar (jarak, kedalaman)</t>
        </is>
      </c>
      <c r="C27" s="355" t="inlineStr">
        <is>
          <t>Dasar</t>
        </is>
      </c>
      <c r="D27" s="356" t="inlineStr">
        <is>
          <t>Test tanam 10 lubang di depan pengawas</t>
        </is>
      </c>
      <c r="E27" s="171" t="n"/>
      <c r="F27" s="171" t="n"/>
      <c r="G27" s="171" t="n"/>
      <c r="H27" s="171" t="n"/>
      <c r="I27" s="171" t="n"/>
      <c r="J27" s="171" t="n"/>
      <c r="K27" s="357" t="inlineStr">
        <is>
          <t>0.3%</t>
        </is>
      </c>
      <c r="L27" s="172" t="n"/>
    </row>
    <row r="28" ht="20" customHeight="1">
      <c r="A28" s="348" t="n">
        <v>3</v>
      </c>
      <c r="B28" s="349" t="inlineStr">
        <is>
          <t>Menyiram &amp; merawat drip irigasi</t>
        </is>
      </c>
      <c r="C28" s="350" t="inlineStr">
        <is>
          <t>Dasar</t>
        </is>
      </c>
      <c r="D28" s="351" t="inlineStr">
        <is>
          <t>Pantau rutin 2 minggu</t>
        </is>
      </c>
      <c r="E28" s="171" t="n"/>
      <c r="F28" s="171" t="n"/>
      <c r="G28" s="171" t="n"/>
      <c r="H28" s="171" t="n"/>
      <c r="I28" s="171" t="n"/>
      <c r="J28" s="171" t="n"/>
      <c r="K28" s="352" t="inlineStr">
        <is>
          <t>0.3%</t>
        </is>
      </c>
      <c r="L28" s="172" t="n"/>
    </row>
    <row r="29" ht="20" customHeight="1">
      <c r="A29" s="353" t="n">
        <v>4</v>
      </c>
      <c r="B29" s="354" t="inlineStr">
        <is>
          <t>Mengaplikasikan pupuk sesuai dosis &amp; jadwal</t>
        </is>
      </c>
      <c r="C29" s="355" t="inlineStr">
        <is>
          <t>Menengah</t>
        </is>
      </c>
      <c r="D29" s="356" t="inlineStr">
        <is>
          <t>Laporan pupuk mingguan dengan tanda tangan</t>
        </is>
      </c>
      <c r="E29" s="171" t="n"/>
      <c r="F29" s="171" t="n"/>
      <c r="G29" s="171" t="n"/>
      <c r="H29" s="171" t="n"/>
      <c r="I29" s="171" t="n"/>
      <c r="J29" s="171" t="n"/>
      <c r="K29" s="357" t="inlineStr">
        <is>
          <t>0.4%</t>
        </is>
      </c>
      <c r="L29" s="172" t="n"/>
    </row>
    <row r="30" ht="20" customHeight="1">
      <c r="A30" s="348" t="n">
        <v>5</v>
      </c>
      <c r="B30" s="349" t="inlineStr">
        <is>
          <t>Identifikasi &amp; penanganan hama/penyakit</t>
        </is>
      </c>
      <c r="C30" s="350" t="inlineStr">
        <is>
          <t>Menengah</t>
        </is>
      </c>
      <c r="D30" s="351" t="inlineStr">
        <is>
          <t>Tes tulis + praktik lapang</t>
        </is>
      </c>
      <c r="E30" s="171" t="n"/>
      <c r="F30" s="171" t="n"/>
      <c r="G30" s="171" t="n"/>
      <c r="H30" s="171" t="n"/>
      <c r="I30" s="171" t="n"/>
      <c r="J30" s="171" t="n"/>
      <c r="K30" s="352" t="inlineStr">
        <is>
          <t>0.4%</t>
        </is>
      </c>
      <c r="L30" s="172" t="n"/>
    </row>
    <row r="31" ht="20" customHeight="1">
      <c r="A31" s="353" t="n">
        <v>6</v>
      </c>
      <c r="B31" s="354" t="inlineStr">
        <is>
          <t>Sortasi hasil panen kelas A/B/C</t>
        </is>
      </c>
      <c r="C31" s="355" t="inlineStr">
        <is>
          <t>Menengah</t>
        </is>
      </c>
      <c r="D31" s="356" t="inlineStr">
        <is>
          <t>Sortasi 10kg di depan pembimbing</t>
        </is>
      </c>
      <c r="E31" s="171" t="n"/>
      <c r="F31" s="171" t="n"/>
      <c r="G31" s="171" t="n"/>
      <c r="H31" s="171" t="n"/>
      <c r="I31" s="171" t="n"/>
      <c r="J31" s="171" t="n"/>
      <c r="K31" s="357" t="inlineStr">
        <is>
          <t>0.3%</t>
        </is>
      </c>
      <c r="L31" s="172" t="n"/>
    </row>
    <row r="32" ht="20" customHeight="1">
      <c r="A32" s="348" t="n">
        <v>7</v>
      </c>
      <c r="B32" s="349" t="inlineStr">
        <is>
          <t>Mengoperasikan alat irigasi &amp; pompa</t>
        </is>
      </c>
      <c r="C32" s="350" t="inlineStr">
        <is>
          <t>Lanjutan</t>
        </is>
      </c>
      <c r="D32" s="351" t="inlineStr">
        <is>
          <t>Operasikan mandiri tanpa bantuan</t>
        </is>
      </c>
      <c r="E32" s="171" t="n"/>
      <c r="F32" s="171" t="n"/>
      <c r="G32" s="171" t="n"/>
      <c r="H32" s="171" t="n"/>
      <c r="I32" s="171" t="n"/>
      <c r="J32" s="171" t="n"/>
      <c r="K32" s="352" t="inlineStr">
        <is>
          <t>0.4%</t>
        </is>
      </c>
      <c r="L32" s="172" t="n"/>
    </row>
    <row r="33" ht="20" customHeight="1">
      <c r="A33" s="353" t="n">
        <v>8</v>
      </c>
      <c r="B33" s="354" t="inlineStr">
        <is>
          <t>Membuat catatan lapang (logbook)</t>
        </is>
      </c>
      <c r="C33" s="355" t="inlineStr">
        <is>
          <t>Lanjutan</t>
        </is>
      </c>
      <c r="D33" s="356" t="inlineStr">
        <is>
          <t>Logbook 2 minggu lengkap</t>
        </is>
      </c>
      <c r="E33" s="171" t="n"/>
      <c r="F33" s="171" t="n"/>
      <c r="G33" s="171" t="n"/>
      <c r="H33" s="171" t="n"/>
      <c r="I33" s="171" t="n"/>
      <c r="J33" s="171" t="n"/>
      <c r="K33" s="357" t="inlineStr">
        <is>
          <t>0.3%</t>
        </is>
      </c>
      <c r="L33" s="172" t="n"/>
    </row>
    <row r="34" ht="20" customHeight="1">
      <c r="A34" s="348" t="n">
        <v>9</v>
      </c>
      <c r="B34" s="349" t="inlineStr">
        <is>
          <t>Menghitung biaya produksi dasar</t>
        </is>
      </c>
      <c r="C34" s="350" t="inlineStr">
        <is>
          <t>Lanjutan</t>
        </is>
      </c>
      <c r="D34" s="351" t="inlineStr">
        <is>
          <t>Hitung RAB 1 bedeng dengan benar</t>
        </is>
      </c>
      <c r="E34" s="171" t="n"/>
      <c r="F34" s="171" t="n"/>
      <c r="G34" s="171" t="n"/>
      <c r="H34" s="171" t="n"/>
      <c r="I34" s="171" t="n"/>
      <c r="J34" s="171" t="n"/>
      <c r="K34" s="352" t="inlineStr">
        <is>
          <t>0.5%</t>
        </is>
      </c>
      <c r="L34" s="172" t="n"/>
    </row>
    <row r="35" ht="20" customHeight="1">
      <c r="A35" s="353" t="n">
        <v>10</v>
      </c>
      <c r="B35" s="354" t="inlineStr">
        <is>
          <t>Memimpin tim panen (jadi koordinator)</t>
        </is>
      </c>
      <c r="C35" s="355" t="inlineStr">
        <is>
          <t>Expert</t>
        </is>
      </c>
      <c r="D35" s="356" t="inlineStr">
        <is>
          <t>Koordinasi min 3 orang panen 1 hari</t>
        </is>
      </c>
      <c r="E35" s="171" t="n"/>
      <c r="F35" s="171" t="n"/>
      <c r="G35" s="171" t="n"/>
      <c r="H35" s="171" t="n"/>
      <c r="I35" s="171" t="n"/>
      <c r="J35" s="171" t="n"/>
      <c r="K35" s="357" t="inlineStr">
        <is>
          <t>1.0%</t>
        </is>
      </c>
      <c r="L35" s="172" t="n"/>
    </row>
    <row r="36" ht="20" customHeight="1">
      <c r="A36" s="358" t="n"/>
      <c r="B36" s="359" t="inlineStr">
        <is>
          <t>TOTAL MAKSIMUM</t>
        </is>
      </c>
      <c r="C36" s="350" t="n"/>
      <c r="D36" s="360" t="n"/>
      <c r="E36" s="171" t="n"/>
      <c r="F36" s="171" t="n"/>
      <c r="G36" s="171" t="n"/>
      <c r="H36" s="171" t="n"/>
      <c r="I36" s="171" t="n"/>
      <c r="J36" s="171" t="n"/>
      <c r="K36" s="352" t="inlineStr">
        <is>
          <t>4.5% + base 0.5% = 5%</t>
        </is>
      </c>
      <c r="L36" s="172" t="n"/>
    </row>
  </sheetData>
  <mergeCells count="49">
    <mergeCell ref="D28:J28"/>
    <mergeCell ref="A16:L16"/>
    <mergeCell ref="E18:L18"/>
    <mergeCell ref="K25:L25"/>
    <mergeCell ref="D11:L11"/>
    <mergeCell ref="D13:L13"/>
    <mergeCell ref="E21:L21"/>
    <mergeCell ref="K30:L30"/>
    <mergeCell ref="K34:L34"/>
    <mergeCell ref="K33:L33"/>
    <mergeCell ref="D25:J25"/>
    <mergeCell ref="B17:D17"/>
    <mergeCell ref="D30:J30"/>
    <mergeCell ref="D33:J33"/>
    <mergeCell ref="K36:L36"/>
    <mergeCell ref="D29:J29"/>
    <mergeCell ref="K26:L26"/>
    <mergeCell ref="D7:L7"/>
    <mergeCell ref="E17:L17"/>
    <mergeCell ref="A2:L2"/>
    <mergeCell ref="K29:L29"/>
    <mergeCell ref="B19:D19"/>
    <mergeCell ref="E20:L20"/>
    <mergeCell ref="K35:L35"/>
    <mergeCell ref="D26:J26"/>
    <mergeCell ref="K32:L32"/>
    <mergeCell ref="A23:L23"/>
    <mergeCell ref="D35:J35"/>
    <mergeCell ref="D34:J34"/>
    <mergeCell ref="E19:L19"/>
    <mergeCell ref="K31:L31"/>
    <mergeCell ref="D12:L12"/>
    <mergeCell ref="D8:L8"/>
    <mergeCell ref="A4:L4"/>
    <mergeCell ref="B20:D20"/>
    <mergeCell ref="D31:J31"/>
    <mergeCell ref="D36:J36"/>
    <mergeCell ref="D5:L5"/>
    <mergeCell ref="D14:L14"/>
    <mergeCell ref="K27:L27"/>
    <mergeCell ref="D27:J27"/>
    <mergeCell ref="D10:L10"/>
    <mergeCell ref="A24:L24"/>
    <mergeCell ref="D32:J32"/>
    <mergeCell ref="A1:L1"/>
    <mergeCell ref="K28:L28"/>
    <mergeCell ref="B18:D18"/>
    <mergeCell ref="B21:D21"/>
    <mergeCell ref="D6:L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361" t="inlineStr">
        <is>
          <t>🫚 PAKET INVESTASI — JAHE MERAH 1 HA  |  8–10 Bulan</t>
        </is>
      </c>
    </row>
    <row r="2" ht="18" customHeight="1">
      <c r="A2" s="169" t="inlineStr">
        <is>
          <t>Hasil estimasi: 15,000 kg/ha  ·  Lokal Rp 15,000/kg  ·  Ekspor Rp 80,000/kg  ·  Target: China, Jepang, Timur Tengah, EU</t>
        </is>
      </c>
    </row>
    <row r="3"/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362" t="inlineStr">
        <is>
          <t xml:space="preserve">  MODAL INVESTASI TOTAL</t>
        </is>
      </c>
      <c r="B5" s="171" t="n"/>
      <c r="C5" s="171" t="n"/>
      <c r="D5" s="171" t="n"/>
      <c r="E5" s="171" t="n"/>
      <c r="F5" s="171" t="n"/>
      <c r="G5" s="171" t="n"/>
      <c r="H5" s="363" t="n">
        <v>255200000</v>
      </c>
      <c r="I5" s="171" t="n"/>
      <c r="J5" s="172" t="n"/>
    </row>
    <row r="6"/>
    <row r="7" ht="20" customHeight="1">
      <c r="A7" s="364" t="inlineStr">
        <is>
          <t xml:space="preserve">  Est. Revenue Bruto (Mix 30/70 Lokal/Ekspor)</t>
        </is>
      </c>
      <c r="B7" s="171" t="n"/>
      <c r="C7" s="171" t="n"/>
      <c r="D7" s="171" t="n"/>
      <c r="E7" s="171" t="n"/>
      <c r="F7" s="171" t="n"/>
      <c r="G7" s="171" t="n"/>
      <c r="H7" s="365" t="n">
        <v>907500000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50,000,000)</t>
        </is>
      </c>
      <c r="I8" s="171" t="n"/>
      <c r="J8" s="172" t="n"/>
    </row>
    <row r="9" ht="20" customHeight="1">
      <c r="A9" s="368" t="inlineStr">
        <is>
          <t xml:space="preserve">  SISA BERSIH (DASAR BAGI HASIL)</t>
        </is>
      </c>
      <c r="B9" s="171" t="n"/>
      <c r="C9" s="171" t="n"/>
      <c r="D9" s="171" t="n"/>
      <c r="E9" s="171" t="n"/>
      <c r="F9" s="171" t="n"/>
      <c r="G9" s="171" t="n"/>
      <c r="H9" s="369" t="n">
        <v>857500000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343000000</v>
      </c>
      <c r="I11" s="171" t="n"/>
      <c r="J11" s="172" t="n"/>
    </row>
    <row r="12" ht="20" customHeight="1">
      <c r="A12" s="372" t="inlineStr">
        <is>
          <t xml:space="preserve">  💰 Donatur 10%</t>
        </is>
      </c>
      <c r="B12" s="171" t="n"/>
      <c r="C12" s="171" t="n"/>
      <c r="D12" s="171" t="n"/>
      <c r="E12" s="171" t="n"/>
      <c r="F12" s="171" t="n"/>
      <c r="G12" s="171" t="n"/>
      <c r="H12" s="373" t="n">
        <v>85750000</v>
      </c>
      <c r="I12" s="171" t="n"/>
      <c r="J12" s="172" t="n"/>
    </row>
    <row r="13" ht="20" customHeight="1">
      <c r="A13" s="374" t="inlineStr">
        <is>
          <t xml:space="preserve">    → ROI Donatur</t>
        </is>
      </c>
      <c r="B13" s="171" t="n"/>
      <c r="C13" s="171" t="n"/>
      <c r="D13" s="171" t="n"/>
      <c r="E13" s="171" t="n"/>
      <c r="F13" s="171" t="n"/>
      <c r="G13" s="171" t="n"/>
      <c r="H13" s="375" t="inlineStr">
        <is>
          <t>33.6%</t>
        </is>
      </c>
      <c r="I13" s="171" t="n"/>
      <c r="J13" s="172" t="n"/>
    </row>
    <row r="14" ht="20" customHeight="1">
      <c r="A14" s="366" t="inlineStr">
        <is>
          <t xml:space="preserve">  👷 Tenaga Lokal 40%</t>
        </is>
      </c>
      <c r="B14" s="171" t="n"/>
      <c r="C14" s="171" t="n"/>
      <c r="D14" s="171" t="n"/>
      <c r="E14" s="171" t="n"/>
      <c r="F14" s="171" t="n"/>
      <c r="G14" s="171" t="n"/>
      <c r="H14" s="376" t="n">
        <v>343000000</v>
      </c>
      <c r="I14" s="171" t="n"/>
      <c r="J14" s="172" t="n"/>
    </row>
    <row r="15" ht="20" customHeight="1">
      <c r="A15" s="377" t="inlineStr">
        <is>
          <t xml:space="preserve">    → Sudah dibayar advance (gaji selama tanam)</t>
        </is>
      </c>
      <c r="B15" s="171" t="n"/>
      <c r="C15" s="171" t="n"/>
      <c r="D15" s="171" t="n"/>
      <c r="E15" s="171" t="n"/>
      <c r="F15" s="171" t="n"/>
      <c r="G15" s="171" t="n"/>
      <c r="H15" s="378" t="inlineStr">
        <is>
          <t>(Rp 44,800,000)</t>
        </is>
      </c>
      <c r="I15" s="171" t="n"/>
      <c r="J15" s="172" t="n"/>
    </row>
    <row r="16" ht="20" customHeight="1">
      <c r="A16" s="379" t="inlineStr">
        <is>
          <t xml:space="preserve">    → BONUS PANEN (terima tunai saat panen)</t>
        </is>
      </c>
      <c r="B16" s="171" t="n"/>
      <c r="C16" s="171" t="n"/>
      <c r="D16" s="171" t="n"/>
      <c r="E16" s="171" t="n"/>
      <c r="F16" s="171" t="n"/>
      <c r="G16" s="171" t="n"/>
      <c r="H16" s="380" t="n">
        <v>298200000</v>
      </c>
      <c r="I16" s="171" t="n"/>
      <c r="J16" s="172" t="n"/>
    </row>
    <row r="17" ht="20" customHeight="1">
      <c r="A17" s="381" t="inlineStr">
        <is>
          <t xml:space="preserve">  👦 Anak Binaan avg 3%</t>
        </is>
      </c>
      <c r="B17" s="171" t="n"/>
      <c r="C17" s="171" t="n"/>
      <c r="D17" s="171" t="n"/>
      <c r="E17" s="171" t="n"/>
      <c r="F17" s="171" t="n"/>
      <c r="G17" s="171" t="n"/>
      <c r="H17" s="382" t="n">
        <v>25725000</v>
      </c>
      <c r="I17" s="171" t="n"/>
      <c r="J17" s="172" t="n"/>
    </row>
    <row r="18" ht="20" customHeight="1">
      <c r="A18" s="383" t="inlineStr">
        <is>
          <t xml:space="preserve">  🎯 Fee Manajemen 10%</t>
        </is>
      </c>
      <c r="B18" s="171" t="n"/>
      <c r="C18" s="171" t="n"/>
      <c r="D18" s="171" t="n"/>
      <c r="E18" s="171" t="n"/>
      <c r="F18" s="171" t="n"/>
      <c r="G18" s="171" t="n"/>
      <c r="H18" s="384" t="n">
        <v>85750000</v>
      </c>
      <c r="I18" s="171" t="n"/>
      <c r="J18" s="172" t="n"/>
    </row>
    <row r="19"/>
    <row r="20" ht="20" customHeight="1">
      <c r="A20" s="385" t="inlineStr">
        <is>
          <t xml:space="preserve">  A. PERSIAPAN &amp; PENGOLAHAN LAHAN (sama semua komoditi)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26" customHeight="1">
      <c r="A21" s="386" t="inlineStr">
        <is>
          <t>No</t>
        </is>
      </c>
      <c r="B21" s="387" t="inlineStr">
        <is>
          <t>Uraian Pekerjaan / Item</t>
        </is>
      </c>
      <c r="C21" s="388" t="inlineStr">
        <is>
          <t>Vol</t>
        </is>
      </c>
      <c r="D21" s="388" t="inlineStr">
        <is>
          <t>Sat</t>
        </is>
      </c>
      <c r="E21" s="388" t="inlineStr">
        <is>
          <t>Harga Sat (Rp)</t>
        </is>
      </c>
      <c r="F21" s="388" t="inlineStr">
        <is>
          <t>Total (Rp)</t>
        </is>
      </c>
      <c r="G21" s="388" t="inlineStr">
        <is>
          <t>Fase</t>
        </is>
      </c>
      <c r="H21" s="389" t="inlineStr">
        <is>
          <t>Keterangan</t>
        </is>
      </c>
      <c r="I21" s="178" t="n"/>
      <c r="J21" s="179" t="n"/>
    </row>
    <row r="22" ht="18" customHeight="1">
      <c r="A22" s="390" t="n">
        <v>1</v>
      </c>
      <c r="B22" s="391" t="inlineStr">
        <is>
          <t>Survei &amp; analisa tanah (pH, NPK, tekstur)</t>
        </is>
      </c>
      <c r="C22" s="392" t="n">
        <v>1</v>
      </c>
      <c r="D22" s="390" t="inlineStr">
        <is>
          <t>paket</t>
        </is>
      </c>
      <c r="E22" s="183" t="n">
        <v>1500000</v>
      </c>
      <c r="F22" s="184" t="n">
        <v>1500000</v>
      </c>
      <c r="G22" s="393" t="inlineStr">
        <is>
          <t>Fase 0</t>
        </is>
      </c>
      <c r="H22" s="394" t="inlineStr">
        <is>
          <t>Balai Pertanian setempat. pH target 6.0–6.5 untuk semua rempah</t>
        </is>
      </c>
      <c r="I22" s="171" t="n"/>
      <c r="J22" s="172" t="n"/>
    </row>
    <row r="23" ht="18" customHeight="1">
      <c r="A23" s="395" t="n">
        <v>2</v>
      </c>
      <c r="B23" s="396" t="inlineStr">
        <is>
          <t>Pembersihan lahan (babat, cabut tunggul)</t>
        </is>
      </c>
      <c r="C23" s="397" t="n">
        <v>10000</v>
      </c>
      <c r="D23" s="395" t="inlineStr">
        <is>
          <t>m²</t>
        </is>
      </c>
      <c r="E23" s="183" t="n">
        <v>500</v>
      </c>
      <c r="F23" s="184" t="n">
        <v>5000000</v>
      </c>
      <c r="G23" s="393" t="inlineStr">
        <is>
          <t>Fase 0</t>
        </is>
      </c>
      <c r="H23" s="398" t="inlineStr">
        <is>
          <t>3 pekerja lokal × 10 hari × Rp 150.000. Prioritas warga sekitar yayasan</t>
        </is>
      </c>
      <c r="I23" s="171" t="n"/>
      <c r="J23" s="172" t="n"/>
    </row>
    <row r="24" ht="18" customHeight="1">
      <c r="A24" s="390" t="n">
        <v>3</v>
      </c>
      <c r="B24" s="391" t="inlineStr">
        <is>
          <t>Pengolahan tanah — bajak 2× (mini traktor)</t>
        </is>
      </c>
      <c r="C24" s="392" t="n">
        <v>10000</v>
      </c>
      <c r="D24" s="390" t="inlineStr">
        <is>
          <t>m²</t>
        </is>
      </c>
      <c r="E24" s="183" t="n">
        <v>800</v>
      </c>
      <c r="F24" s="184" t="n">
        <v>8000000</v>
      </c>
      <c r="G24" s="393" t="inlineStr">
        <is>
          <t>Fase 0</t>
        </is>
      </c>
      <c r="H24" s="394" t="inlineStr">
        <is>
          <t>Sewa traktor lokal. Kedalaman 30cm, buat struktur tanah gembur</t>
        </is>
      </c>
      <c r="I24" s="171" t="n"/>
      <c r="J24" s="172" t="n"/>
    </row>
    <row r="25" ht="18" customHeight="1">
      <c r="A25" s="187" t="n">
        <v>4</v>
      </c>
      <c r="B25" s="188" t="inlineStr">
        <is>
          <t>Aplikasi kapur dolomit (naikkan pH)</t>
        </is>
      </c>
      <c r="C25" s="399" t="n">
        <v>2000</v>
      </c>
      <c r="D25" s="187" t="inlineStr">
        <is>
          <t>kg</t>
        </is>
      </c>
      <c r="E25" s="183" t="n">
        <v>1000</v>
      </c>
      <c r="F25" s="184" t="n">
        <v>2000000</v>
      </c>
      <c r="G25" s="393" t="inlineStr">
        <is>
          <t>Fase 0</t>
        </is>
      </c>
      <c r="H25" s="190" t="inlineStr">
        <is>
          <t>2 minggu sebelum tanam. Target pH 6.0–6.5</t>
        </is>
      </c>
      <c r="I25" s="171" t="n"/>
      <c r="J25" s="172" t="n"/>
    </row>
    <row r="26" ht="18" customHeight="1">
      <c r="A26" s="390" t="n">
        <v>5</v>
      </c>
      <c r="B26" s="391" t="inlineStr">
        <is>
          <t>Pembuatan bedengan + saluran drainase</t>
        </is>
      </c>
      <c r="C26" s="392" t="n">
        <v>10000</v>
      </c>
      <c r="D26" s="390" t="inlineStr">
        <is>
          <t>m²</t>
        </is>
      </c>
      <c r="E26" s="183" t="n">
        <v>400</v>
      </c>
      <c r="F26" s="184" t="n">
        <v>4000000</v>
      </c>
      <c r="G26" s="393" t="inlineStr">
        <is>
          <t>Fase 0</t>
        </is>
      </c>
      <c r="H26" s="394" t="inlineStr">
        <is>
          <t>Lebar 100cm, tinggi 30cm, jarak 40cm antar bedeng</t>
        </is>
      </c>
      <c r="I26" s="171" t="n"/>
      <c r="J26" s="172" t="n"/>
    </row>
    <row r="27" ht="18" customHeight="1">
      <c r="A27" s="187" t="n">
        <v>6</v>
      </c>
      <c r="B27" s="188" t="inlineStr">
        <is>
          <t>Pemasangan mulsa plastik hitam perak</t>
        </is>
      </c>
      <c r="C27" s="399" t="n">
        <v>100</v>
      </c>
      <c r="D27" s="187" t="inlineStr">
        <is>
          <t>roll</t>
        </is>
      </c>
      <c r="E27" s="183" t="n">
        <v>60000</v>
      </c>
      <c r="F27" s="184" t="n">
        <v>6000000</v>
      </c>
      <c r="G27" s="400" t="inlineStr">
        <is>
          <t>Fase 1</t>
        </is>
      </c>
      <c r="H27" s="190" t="inlineStr">
        <is>
          <t>Wajib! Kendalikan gulma &amp; kelembaban tanah</t>
        </is>
      </c>
      <c r="I27" s="171" t="n"/>
      <c r="J27" s="172" t="n"/>
    </row>
    <row r="28" ht="18" customHeight="1">
      <c r="A28" s="390" t="n">
        <v>7</v>
      </c>
      <c r="B28" s="391" t="inlineStr">
        <is>
          <t>Pembuatan jalan setapak antar bedeng</t>
        </is>
      </c>
      <c r="C28" s="392" t="n">
        <v>1</v>
      </c>
      <c r="D28" s="390" t="inlineStr">
        <is>
          <t>paket</t>
        </is>
      </c>
      <c r="E28" s="183" t="n">
        <v>3000000</v>
      </c>
      <c r="F28" s="184" t="n">
        <v>3000000</v>
      </c>
      <c r="G28" s="400" t="inlineStr">
        <is>
          <t>Fase 1</t>
        </is>
      </c>
      <c r="H28" s="394" t="inlineStr">
        <is>
          <t>Sirtu atau batu kali, lebar 40cm</t>
        </is>
      </c>
      <c r="I28" s="171" t="n"/>
      <c r="J28" s="172" t="n"/>
    </row>
    <row r="29" ht="18" customHeight="1">
      <c r="A29" s="395" t="n">
        <v>8</v>
      </c>
      <c r="B29" s="396" t="inlineStr">
        <is>
          <t>Gaji pekerja lokal persiapan lahan (total)</t>
        </is>
      </c>
      <c r="C29" s="397" t="n">
        <v>15</v>
      </c>
      <c r="D29" s="395" t="inlineStr">
        <is>
          <t>HOK</t>
        </is>
      </c>
      <c r="E29" s="183" t="n">
        <v>150000</v>
      </c>
      <c r="F29" s="401" t="n">
        <v>2250000</v>
      </c>
      <c r="G29" s="393" t="inlineStr">
        <is>
          <t>Fase 0</t>
        </is>
      </c>
      <c r="H29" s="398" t="inlineStr">
        <is>
          <t>⚠️ ADVANCE: dicatat sebagai pinjaman, dipotong dari porsi 40% saat panen</t>
        </is>
      </c>
      <c r="I29" s="171" t="n"/>
      <c r="J29" s="172" t="n"/>
    </row>
    <row r="30" ht="20" customHeight="1">
      <c r="A30" s="402" t="inlineStr">
        <is>
          <t xml:space="preserve">  ▶ SUBTOTAL: PERSIAPAN LAHAN</t>
        </is>
      </c>
      <c r="B30" s="178" t="n"/>
      <c r="C30" s="178" t="n"/>
      <c r="D30" s="178" t="n"/>
      <c r="E30" s="178" t="n"/>
      <c r="F30" s="403" t="n">
        <v>31750000</v>
      </c>
      <c r="G30" s="404" t="n"/>
      <c r="H30" s="178" t="n"/>
      <c r="I30" s="178" t="n"/>
      <c r="J30" s="179" t="n"/>
    </row>
    <row r="31"/>
    <row r="32" ht="20" customHeight="1">
      <c r="A32" s="385" t="inlineStr">
        <is>
          <t xml:space="preserve">  B. PEMBIBITAN &amp; PENGADAAN BIBIT — Jahe Merah</t>
        </is>
      </c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2" t="n"/>
    </row>
    <row r="33" ht="26" customHeight="1">
      <c r="A33" s="386" t="inlineStr">
        <is>
          <t>No</t>
        </is>
      </c>
      <c r="B33" s="387" t="inlineStr">
        <is>
          <t>Uraian Pekerjaan / Item</t>
        </is>
      </c>
      <c r="C33" s="388" t="inlineStr">
        <is>
          <t>Vol</t>
        </is>
      </c>
      <c r="D33" s="388" t="inlineStr">
        <is>
          <t>Sat</t>
        </is>
      </c>
      <c r="E33" s="388" t="inlineStr">
        <is>
          <t>Harga Sat (Rp)</t>
        </is>
      </c>
      <c r="F33" s="388" t="inlineStr">
        <is>
          <t>Total (Rp)</t>
        </is>
      </c>
      <c r="G33" s="388" t="inlineStr">
        <is>
          <t>Fase</t>
        </is>
      </c>
      <c r="H33" s="389" t="inlineStr">
        <is>
          <t>Keterangan</t>
        </is>
      </c>
      <c r="I33" s="178" t="n"/>
      <c r="J33" s="179" t="n"/>
    </row>
    <row r="34" ht="18" customHeight="1">
      <c r="A34" s="390" t="n">
        <v>1</v>
      </c>
      <c r="B34" s="405" t="inlineStr">
        <is>
          <t>Bibit rimpang jahe merah segar (20–30g/bibit)</t>
        </is>
      </c>
      <c r="C34" s="392" t="n">
        <v>40000</v>
      </c>
      <c r="D34" s="390" t="inlineStr">
        <is>
          <t>bibit</t>
        </is>
      </c>
      <c r="E34" s="183" t="n">
        <v>2500</v>
      </c>
      <c r="F34" s="184" t="n">
        <v>100000000</v>
      </c>
      <c r="G34" s="400" t="inlineStr">
        <is>
          <t>Fase 1</t>
        </is>
      </c>
      <c r="H34" s="394" t="inlineStr">
        <is>
          <t>Pilih bebas busuk, gingerol tinggi. Sumber: petani lokal Bogor/Sukabumi</t>
        </is>
      </c>
      <c r="I34" s="171" t="n"/>
      <c r="J34" s="172" t="n"/>
    </row>
    <row r="35" ht="18" customHeight="1">
      <c r="A35" s="187" t="n">
        <v>2</v>
      </c>
      <c r="B35" s="188" t="inlineStr">
        <is>
          <t>Polybag semai 8×12cm</t>
        </is>
      </c>
      <c r="C35" s="399" t="n">
        <v>40000</v>
      </c>
      <c r="D35" s="187" t="inlineStr">
        <is>
          <t>pcs</t>
        </is>
      </c>
      <c r="E35" s="183" t="n">
        <v>150</v>
      </c>
      <c r="F35" s="184" t="n">
        <v>6000000</v>
      </c>
      <c r="G35" s="400" t="inlineStr">
        <is>
          <t>Fase 1</t>
        </is>
      </c>
      <c r="H35" s="190" t="inlineStr">
        <is>
          <t>Media cocopeat+tanah, semai 2–3 minggu</t>
        </is>
      </c>
      <c r="I35" s="171" t="n"/>
      <c r="J35" s="172" t="n"/>
    </row>
    <row r="36" ht="18" customHeight="1">
      <c r="A36" s="390" t="n">
        <v>3</v>
      </c>
      <c r="B36" s="391" t="inlineStr">
        <is>
          <t>Trichoderma cair (perlakuan bibit)</t>
        </is>
      </c>
      <c r="C36" s="392" t="n">
        <v>5</v>
      </c>
      <c r="D36" s="390" t="inlineStr">
        <is>
          <t>liter</t>
        </is>
      </c>
      <c r="E36" s="183" t="n">
        <v>150000</v>
      </c>
      <c r="F36" s="184" t="n">
        <v>750000</v>
      </c>
      <c r="G36" s="400" t="inlineStr">
        <is>
          <t>Fase 1</t>
        </is>
      </c>
      <c r="H36" s="394" t="inlineStr">
        <is>
          <t>Rendam 30 mnt sebelum tanam. Cegah Pythium</t>
        </is>
      </c>
      <c r="I36" s="171" t="n"/>
      <c r="J36" s="172" t="n"/>
    </row>
    <row r="37" ht="18" customHeight="1">
      <c r="A37" s="187" t="n">
        <v>4</v>
      </c>
      <c r="B37" s="188" t="inlineStr">
        <is>
          <t>KNO3 stimulasi rimpang (bln 4–7)</t>
        </is>
      </c>
      <c r="C37" s="399" t="n">
        <v>100</v>
      </c>
      <c r="D37" s="187" t="inlineStr">
        <is>
          <t>kg</t>
        </is>
      </c>
      <c r="E37" s="183" t="n">
        <v>25000</v>
      </c>
      <c r="F37" s="184" t="n">
        <v>2500000</v>
      </c>
      <c r="G37" s="406" t="inlineStr">
        <is>
          <t>Rutin</t>
        </is>
      </c>
      <c r="H37" s="190" t="inlineStr">
        <is>
          <t>Kritis untuk besar &amp; bobot rimpang</t>
        </is>
      </c>
      <c r="I37" s="171" t="n"/>
      <c r="J37" s="172" t="n"/>
    </row>
    <row r="38" ht="20" customHeight="1">
      <c r="A38" s="402" t="inlineStr">
        <is>
          <t xml:space="preserve">  ▶ SUBTOTAL: BIBIT JAHE MERAH</t>
        </is>
      </c>
      <c r="B38" s="178" t="n"/>
      <c r="C38" s="178" t="n"/>
      <c r="D38" s="178" t="n"/>
      <c r="E38" s="178" t="n"/>
      <c r="F38" s="403" t="n">
        <v>109250000</v>
      </c>
      <c r="G38" s="404" t="n"/>
      <c r="H38" s="178" t="n"/>
      <c r="I38" s="178" t="n"/>
      <c r="J38" s="179" t="n"/>
    </row>
    <row r="39"/>
    <row r="40" ht="20" customHeight="1">
      <c r="A40" s="385" t="inlineStr">
        <is>
          <t xml:space="preserve">  C. IRIGASI &amp; INSTALASI PIPA (dari titik keran yayasan ke lahan)</t>
        </is>
      </c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2" t="n"/>
    </row>
    <row r="41" ht="22" customHeight="1">
      <c r="A41" s="407" t="inlineStr">
        <is>
          <t xml:space="preserve">  ℹ️  Yayasan menyediakan TITIK KERAN di jalur utama. Biaya di bawah adalah dari keran → area tanam masing-masing lahan.</t>
        </is>
      </c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2" t="n"/>
    </row>
    <row r="42" ht="26" customHeight="1">
      <c r="A42" s="386" t="inlineStr">
        <is>
          <t>No</t>
        </is>
      </c>
      <c r="B42" s="387" t="inlineStr">
        <is>
          <t>Uraian Pekerjaan / Item</t>
        </is>
      </c>
      <c r="C42" s="388" t="inlineStr">
        <is>
          <t>Vol</t>
        </is>
      </c>
      <c r="D42" s="388" t="inlineStr">
        <is>
          <t>Sat</t>
        </is>
      </c>
      <c r="E42" s="388" t="inlineStr">
        <is>
          <t>Harga Sat (Rp)</t>
        </is>
      </c>
      <c r="F42" s="388" t="inlineStr">
        <is>
          <t>Total (Rp)</t>
        </is>
      </c>
      <c r="G42" s="388" t="inlineStr">
        <is>
          <t>Fase</t>
        </is>
      </c>
      <c r="H42" s="389" t="inlineStr">
        <is>
          <t>Keterangan</t>
        </is>
      </c>
      <c r="I42" s="178" t="n"/>
      <c r="J42" s="179" t="n"/>
    </row>
    <row r="43" ht="18" customHeight="1">
      <c r="A43" s="390" t="n">
        <v>1</v>
      </c>
      <c r="B43" s="391" t="inlineStr">
        <is>
          <t>Tandon air 1.000L PE food grade (2 unit)</t>
        </is>
      </c>
      <c r="C43" s="392" t="n">
        <v>2</v>
      </c>
      <c r="D43" s="390" t="inlineStr">
        <is>
          <t>unit</t>
        </is>
      </c>
      <c r="E43" s="183" t="n">
        <v>800000</v>
      </c>
      <c r="F43" s="184" t="n">
        <v>1600000</v>
      </c>
      <c r="G43" s="400" t="inlineStr">
        <is>
          <t>Fase 1</t>
        </is>
      </c>
      <c r="H43" s="394" t="inlineStr">
        <is>
          <t>Titik tertinggi lahan. Gravitasi bantu tekanan</t>
        </is>
      </c>
      <c r="I43" s="171" t="n"/>
      <c r="J43" s="172" t="n"/>
    </row>
    <row r="44" ht="18" customHeight="1">
      <c r="A44" s="187" t="n">
        <v>2</v>
      </c>
      <c r="B44" s="188" t="inlineStr">
        <is>
          <t>Pipa PVC 1,5" utama dari tandon</t>
        </is>
      </c>
      <c r="C44" s="399" t="n">
        <v>6</v>
      </c>
      <c r="D44" s="187" t="inlineStr">
        <is>
          <t>btg 4m</t>
        </is>
      </c>
      <c r="E44" s="183" t="n">
        <v>45000</v>
      </c>
      <c r="F44" s="184" t="n">
        <v>270000</v>
      </c>
      <c r="G44" s="400" t="inlineStr">
        <is>
          <t>Fase 1</t>
        </is>
      </c>
      <c r="H44" s="190" t="inlineStr">
        <is>
          <t>~20m dari tandon ke manifold</t>
        </is>
      </c>
      <c r="I44" s="171" t="n"/>
      <c r="J44" s="172" t="n"/>
    </row>
    <row r="45" ht="18" customHeight="1">
      <c r="A45" s="390" t="n">
        <v>3</v>
      </c>
      <c r="B45" s="391" t="inlineStr">
        <is>
          <t>Manifold PVC 1" (header per zona irigasi)</t>
        </is>
      </c>
      <c r="C45" s="392" t="n">
        <v>4</v>
      </c>
      <c r="D45" s="390" t="inlineStr">
        <is>
          <t>unit</t>
        </is>
      </c>
      <c r="E45" s="183" t="n">
        <v>50000</v>
      </c>
      <c r="F45" s="184" t="n">
        <v>200000</v>
      </c>
      <c r="G45" s="400" t="inlineStr">
        <is>
          <t>Fase 1</t>
        </is>
      </c>
      <c r="H45" s="394" t="inlineStr">
        <is>
          <t>4 zona bagi agar tekanan merata</t>
        </is>
      </c>
      <c r="I45" s="171" t="n"/>
      <c r="J45" s="172" t="n"/>
    </row>
    <row r="46" ht="18" customHeight="1">
      <c r="A46" s="187" t="n">
        <v>4</v>
      </c>
      <c r="B46" s="188" t="inlineStr">
        <is>
          <t>Pipa lateral PVC 3/4" (ke blok bedeng)</t>
        </is>
      </c>
      <c r="C46" s="399" t="n">
        <v>25</v>
      </c>
      <c r="D46" s="187" t="inlineStr">
        <is>
          <t>btg 4m</t>
        </is>
      </c>
      <c r="E46" s="183" t="n">
        <v>25000</v>
      </c>
      <c r="F46" s="184" t="n">
        <v>625000</v>
      </c>
      <c r="G46" s="400" t="inlineStr">
        <is>
          <t>Fase 1</t>
        </is>
      </c>
      <c r="H46" s="190" t="n"/>
      <c r="I46" s="171" t="n"/>
      <c r="J46" s="172" t="n"/>
    </row>
    <row r="47" ht="18" customHeight="1">
      <c r="A47" s="390" t="n">
        <v>5</v>
      </c>
      <c r="B47" s="391" t="inlineStr">
        <is>
          <t>Selang PE 1/2" drip line per baris</t>
        </is>
      </c>
      <c r="C47" s="392" t="n">
        <v>300</v>
      </c>
      <c r="D47" s="390" t="inlineStr">
        <is>
          <t>meter</t>
        </is>
      </c>
      <c r="E47" s="183" t="n">
        <v>5000</v>
      </c>
      <c r="F47" s="184" t="n">
        <v>1500000</v>
      </c>
      <c r="G47" s="400" t="inlineStr">
        <is>
          <t>Fase 1</t>
        </is>
      </c>
      <c r="H47" s="394" t="inlineStr">
        <is>
          <t>Sesuaikan jarak tanam</t>
        </is>
      </c>
      <c r="I47" s="171" t="n"/>
      <c r="J47" s="172" t="n"/>
    </row>
    <row r="48" ht="18" customHeight="1">
      <c r="A48" s="187" t="n">
        <v>6</v>
      </c>
      <c r="B48" s="188" t="inlineStr">
        <is>
          <t>Emitter drip 2L/jam (1 per bibit)</t>
        </is>
      </c>
      <c r="C48" s="399" t="n">
        <v>40000</v>
      </c>
      <c r="D48" s="187" t="inlineStr">
        <is>
          <t>pcs</t>
        </is>
      </c>
      <c r="E48" s="183" t="n">
        <v>600</v>
      </c>
      <c r="F48" s="184" t="n">
        <v>24000000</v>
      </c>
      <c r="G48" s="400" t="inlineStr">
        <is>
          <t>Fase 1</t>
        </is>
      </c>
      <c r="H48" s="190" t="inlineStr">
        <is>
          <t>40,000 bibit = 40,000 emitter</t>
        </is>
      </c>
      <c r="I48" s="171" t="n"/>
      <c r="J48" s="172" t="n"/>
    </row>
    <row r="49" ht="18" customHeight="1">
      <c r="A49" s="390" t="n">
        <v>7</v>
      </c>
      <c r="B49" s="391" t="inlineStr">
        <is>
          <t>Ball valve 3/4" (kontrol zona)</t>
        </is>
      </c>
      <c r="C49" s="392" t="n">
        <v>8</v>
      </c>
      <c r="D49" s="390" t="inlineStr">
        <is>
          <t>pcs</t>
        </is>
      </c>
      <c r="E49" s="183" t="n">
        <v>25000</v>
      </c>
      <c r="F49" s="184" t="n">
        <v>200000</v>
      </c>
      <c r="G49" s="400" t="inlineStr">
        <is>
          <t>Fase 1</t>
        </is>
      </c>
      <c r="H49" s="394" t="n"/>
      <c r="I49" s="171" t="n"/>
      <c r="J49" s="172" t="n"/>
    </row>
    <row r="50" ht="18" customHeight="1">
      <c r="A50" s="187" t="n">
        <v>8</v>
      </c>
      <c r="B50" s="188" t="inlineStr">
        <is>
          <t>Filter sedimen sebelum emitter</t>
        </is>
      </c>
      <c r="C50" s="399" t="n">
        <v>2</v>
      </c>
      <c r="D50" s="187" t="inlineStr">
        <is>
          <t>unit</t>
        </is>
      </c>
      <c r="E50" s="183" t="n">
        <v>150000</v>
      </c>
      <c r="F50" s="184" t="n">
        <v>300000</v>
      </c>
      <c r="G50" s="400" t="inlineStr">
        <is>
          <t>Fase 1</t>
        </is>
      </c>
      <c r="H50" s="190" t="inlineStr">
        <is>
          <t>Wajib! Cegah buntu</t>
        </is>
      </c>
      <c r="I50" s="171" t="n"/>
      <c r="J50" s="172" t="n"/>
    </row>
    <row r="51" ht="18" customHeight="1">
      <c r="A51" s="390" t="n">
        <v>9</v>
      </c>
      <c r="B51" s="391" t="inlineStr">
        <is>
          <t>Fitting (elbow, T, keni, lem PVC)</t>
        </is>
      </c>
      <c r="C51" s="392" t="n">
        <v>1</v>
      </c>
      <c r="D51" s="390" t="inlineStr">
        <is>
          <t>paket</t>
        </is>
      </c>
      <c r="E51" s="183" t="n">
        <v>350000</v>
      </c>
      <c r="F51" s="184" t="n">
        <v>350000</v>
      </c>
      <c r="G51" s="400" t="inlineStr">
        <is>
          <t>Fase 1</t>
        </is>
      </c>
      <c r="H51" s="394" t="n"/>
      <c r="I51" s="171" t="n"/>
      <c r="J51" s="172" t="n"/>
    </row>
    <row r="52" ht="18" customHeight="1">
      <c r="A52" s="187" t="n">
        <v>10</v>
      </c>
      <c r="B52" s="188" t="inlineStr">
        <is>
          <t>Selang siram manual 1" × 30m (backup)</t>
        </is>
      </c>
      <c r="C52" s="399" t="n">
        <v>2</v>
      </c>
      <c r="D52" s="187" t="inlineStr">
        <is>
          <t>gulung</t>
        </is>
      </c>
      <c r="E52" s="183" t="n">
        <v>200000</v>
      </c>
      <c r="F52" s="184" t="n">
        <v>400000</v>
      </c>
      <c r="G52" s="400" t="inlineStr">
        <is>
          <t>Fase 1</t>
        </is>
      </c>
      <c r="H52" s="190" t="inlineStr">
        <is>
          <t>Backup + aplikasi pupuk cair</t>
        </is>
      </c>
      <c r="I52" s="171" t="n"/>
      <c r="J52" s="172" t="n"/>
    </row>
    <row r="53" ht="18" customHeight="1">
      <c r="A53" s="390" t="n">
        <v>11</v>
      </c>
      <c r="B53" s="391" t="inlineStr">
        <is>
          <t>Pompa celup 125W (jika tidak gravitasi)</t>
        </is>
      </c>
      <c r="C53" s="392" t="n">
        <v>1</v>
      </c>
      <c r="D53" s="390" t="inlineStr">
        <is>
          <t>unit</t>
        </is>
      </c>
      <c r="E53" s="183" t="n">
        <v>800000</v>
      </c>
      <c r="F53" s="184" t="n">
        <v>800000</v>
      </c>
      <c r="G53" s="400" t="inlineStr">
        <is>
          <t>Fase 1</t>
        </is>
      </c>
      <c r="H53" s="394" t="inlineStr">
        <is>
          <t>Cek elevasi lahan dulu</t>
        </is>
      </c>
      <c r="I53" s="171" t="n"/>
      <c r="J53" s="172" t="n"/>
    </row>
    <row r="54" ht="18" customHeight="1">
      <c r="A54" s="187" t="n">
        <v>12</v>
      </c>
      <c r="B54" s="188" t="inlineStr">
        <is>
          <t>Nozzle mist/fogging (jahe butuh RH 80–90%)</t>
        </is>
      </c>
      <c r="C54" s="399" t="n">
        <v>10</v>
      </c>
      <c r="D54" s="187" t="inlineStr">
        <is>
          <t>unit</t>
        </is>
      </c>
      <c r="E54" s="183" t="n">
        <v>15000</v>
      </c>
      <c r="F54" s="184" t="n">
        <v>150000</v>
      </c>
      <c r="G54" s="400" t="inlineStr">
        <is>
          <t>Fase 1</t>
        </is>
      </c>
      <c r="H54" s="190" t="inlineStr">
        <is>
          <t>Pasang di atas kanopi</t>
        </is>
      </c>
      <c r="I54" s="171" t="n"/>
      <c r="J54" s="172" t="n"/>
    </row>
    <row r="55" ht="20" customHeight="1">
      <c r="A55" s="402" t="inlineStr">
        <is>
          <t xml:space="preserve">  ▶ SUBTOTAL: IRIGASI &amp; PIPA</t>
        </is>
      </c>
      <c r="B55" s="178" t="n"/>
      <c r="C55" s="178" t="n"/>
      <c r="D55" s="178" t="n"/>
      <c r="E55" s="178" t="n"/>
      <c r="F55" s="403" t="n">
        <v>30395000</v>
      </c>
      <c r="G55" s="404" t="n"/>
      <c r="H55" s="178" t="n"/>
      <c r="I55" s="178" t="n"/>
      <c r="J55" s="179" t="n"/>
    </row>
    <row r="56"/>
    <row r="57" ht="20" customHeight="1">
      <c r="A57" s="385" t="inlineStr">
        <is>
          <t xml:space="preserve">  D. PUPUK, NUTRISI &amp; PERLINDUNGAN TANAMAN</t>
        </is>
      </c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2" t="n"/>
    </row>
    <row r="58" ht="26" customHeight="1">
      <c r="A58" s="386" t="inlineStr">
        <is>
          <t>No</t>
        </is>
      </c>
      <c r="B58" s="387" t="inlineStr">
        <is>
          <t>Uraian Pekerjaan / Item</t>
        </is>
      </c>
      <c r="C58" s="388" t="inlineStr">
        <is>
          <t>Vol</t>
        </is>
      </c>
      <c r="D58" s="388" t="inlineStr">
        <is>
          <t>Sat</t>
        </is>
      </c>
      <c r="E58" s="388" t="inlineStr">
        <is>
          <t>Harga Sat (Rp)</t>
        </is>
      </c>
      <c r="F58" s="388" t="inlineStr">
        <is>
          <t>Total (Rp)</t>
        </is>
      </c>
      <c r="G58" s="388" t="inlineStr">
        <is>
          <t>Fase</t>
        </is>
      </c>
      <c r="H58" s="389" t="inlineStr">
        <is>
          <t>Keterangan</t>
        </is>
      </c>
      <c r="I58" s="178" t="n"/>
      <c r="J58" s="179" t="n"/>
    </row>
    <row r="59" ht="18" customHeight="1">
      <c r="A59" s="390" t="n">
        <v>1</v>
      </c>
      <c r="B59" s="391" t="inlineStr">
        <is>
          <t>Pupuk kandang matang 20 ton/ha</t>
        </is>
      </c>
      <c r="C59" s="392" t="n">
        <v>20000</v>
      </c>
      <c r="D59" s="390" t="inlineStr">
        <is>
          <t>kg</t>
        </is>
      </c>
      <c r="E59" s="183" t="n">
        <v>300</v>
      </c>
      <c r="F59" s="184" t="n">
        <v>6000000</v>
      </c>
      <c r="G59" s="393" t="inlineStr">
        <is>
          <t>Fase 0</t>
        </is>
      </c>
      <c r="H59" s="394" t="inlineStr">
        <is>
          <t>2 minggu sebelum tanam</t>
        </is>
      </c>
      <c r="I59" s="171" t="n"/>
      <c r="J59" s="172" t="n"/>
    </row>
    <row r="60" ht="18" customHeight="1">
      <c r="A60" s="187" t="n">
        <v>2</v>
      </c>
      <c r="B60" s="188" t="inlineStr">
        <is>
          <t>NPK 16-16-16 (dasar + susulan)</t>
        </is>
      </c>
      <c r="C60" s="399" t="n">
        <v>500</v>
      </c>
      <c r="D60" s="187" t="inlineStr">
        <is>
          <t>kg</t>
        </is>
      </c>
      <c r="E60" s="183" t="n">
        <v>8500</v>
      </c>
      <c r="F60" s="184" t="n">
        <v>4250000</v>
      </c>
      <c r="G60" s="400" t="inlineStr">
        <is>
          <t>Fase 1</t>
        </is>
      </c>
      <c r="H60" s="190" t="inlineStr">
        <is>
          <t>50% dasar, 50% bln 2&amp;4</t>
        </is>
      </c>
      <c r="I60" s="171" t="n"/>
      <c r="J60" s="172" t="n"/>
    </row>
    <row r="61" ht="18" customHeight="1">
      <c r="A61" s="390" t="n">
        <v>3</v>
      </c>
      <c r="B61" s="391" t="inlineStr">
        <is>
          <t>SP-36 fosfor akar</t>
        </is>
      </c>
      <c r="C61" s="392" t="n">
        <v>150</v>
      </c>
      <c r="D61" s="390" t="inlineStr">
        <is>
          <t>kg</t>
        </is>
      </c>
      <c r="E61" s="183" t="n">
        <v>5500</v>
      </c>
      <c r="F61" s="184" t="n">
        <v>825000</v>
      </c>
      <c r="G61" s="393" t="inlineStr">
        <is>
          <t>Fase 0</t>
        </is>
      </c>
      <c r="H61" s="394" t="inlineStr">
        <is>
          <t>Campur saat pengolahan tanah</t>
        </is>
      </c>
      <c r="I61" s="171" t="n"/>
      <c r="J61" s="172" t="n"/>
    </row>
    <row r="62" ht="18" customHeight="1">
      <c r="A62" s="187" t="n">
        <v>4</v>
      </c>
      <c r="B62" s="188" t="inlineStr">
        <is>
          <t>Pupuk organik cair MOL (8 bln)</t>
        </is>
      </c>
      <c r="C62" s="399" t="n">
        <v>8</v>
      </c>
      <c r="D62" s="187" t="inlineStr">
        <is>
          <t>bln</t>
        </is>
      </c>
      <c r="E62" s="183" t="n">
        <v>300000</v>
      </c>
      <c r="F62" s="184" t="n">
        <v>2400000</v>
      </c>
      <c r="G62" s="406" t="inlineStr">
        <is>
          <t>Rutin</t>
        </is>
      </c>
      <c r="H62" s="190" t="inlineStr">
        <is>
          <t>Semprot 2× sebulan</t>
        </is>
      </c>
      <c r="I62" s="171" t="n"/>
      <c r="J62" s="172" t="n"/>
    </row>
    <row r="63" ht="18" customHeight="1">
      <c r="A63" s="390" t="n">
        <v>5</v>
      </c>
      <c r="B63" s="391" t="inlineStr">
        <is>
          <t>Trichoderma sp. (biofungisida)</t>
        </is>
      </c>
      <c r="C63" s="392" t="n">
        <v>5</v>
      </c>
      <c r="D63" s="390" t="inlineStr">
        <is>
          <t>kg</t>
        </is>
      </c>
      <c r="E63" s="183" t="n">
        <v>80000</v>
      </c>
      <c r="F63" s="184" t="n">
        <v>400000</v>
      </c>
      <c r="G63" s="400" t="inlineStr">
        <is>
          <t>Fase 1</t>
        </is>
      </c>
      <c r="H63" s="394" t="inlineStr">
        <is>
          <t>Campur pupuk kandang saat tanam</t>
        </is>
      </c>
      <c r="I63" s="171" t="n"/>
      <c r="J63" s="172" t="n"/>
    </row>
    <row r="64" ht="18" customHeight="1">
      <c r="A64" s="187" t="n">
        <v>6</v>
      </c>
      <c r="B64" s="188" t="inlineStr">
        <is>
          <t>KCl / MKP (kalium rimpang padat, bln 5–8)</t>
        </is>
      </c>
      <c r="C64" s="399" t="n">
        <v>200</v>
      </c>
      <c r="D64" s="187" t="inlineStr">
        <is>
          <t>kg</t>
        </is>
      </c>
      <c r="E64" s="183" t="n">
        <v>9000</v>
      </c>
      <c r="F64" s="184" t="n">
        <v>1800000</v>
      </c>
      <c r="G64" s="406" t="inlineStr">
        <is>
          <t>Rutin</t>
        </is>
      </c>
      <c r="H64" s="190" t="n"/>
      <c r="I64" s="171" t="n"/>
      <c r="J64" s="172" t="n"/>
    </row>
    <row r="65" ht="18" customHeight="1">
      <c r="A65" s="390" t="n">
        <v>7</v>
      </c>
      <c r="B65" s="391" t="inlineStr">
        <is>
          <t>Pestisida nabati (bawang putih+serai)</t>
        </is>
      </c>
      <c r="C65" s="392" t="n">
        <v>8</v>
      </c>
      <c r="D65" s="390" t="inlineStr">
        <is>
          <t>bln</t>
        </is>
      </c>
      <c r="E65" s="183" t="n">
        <v>100000</v>
      </c>
      <c r="F65" s="184" t="n">
        <v>800000</v>
      </c>
      <c r="G65" s="406" t="inlineStr">
        <is>
          <t>Rutin</t>
        </is>
      </c>
      <c r="H65" s="394" t="inlineStr">
        <is>
          <t>Buat sendiri, semprot 2× sebulan</t>
        </is>
      </c>
      <c r="I65" s="171" t="n"/>
      <c r="J65" s="172" t="n"/>
    </row>
    <row r="66" ht="20" customHeight="1">
      <c r="A66" s="402" t="inlineStr">
        <is>
          <t xml:space="preserve">  ▶ SUBTOTAL: PUPUK &amp; NUTRISI</t>
        </is>
      </c>
      <c r="B66" s="178" t="n"/>
      <c r="C66" s="178" t="n"/>
      <c r="D66" s="178" t="n"/>
      <c r="E66" s="178" t="n"/>
      <c r="F66" s="403" t="n">
        <v>16475000</v>
      </c>
      <c r="G66" s="404" t="n"/>
      <c r="H66" s="178" t="n"/>
      <c r="I66" s="178" t="n"/>
      <c r="J66" s="179" t="n"/>
    </row>
    <row r="67"/>
    <row r="68" ht="20" customHeight="1">
      <c r="A68" s="385" t="inlineStr">
        <is>
          <t xml:space="preserve">  E. ALAT PERTANIAN &amp; PERLENGKAPAN</t>
        </is>
      </c>
      <c r="B68" s="171" t="n"/>
      <c r="C68" s="171" t="n"/>
      <c r="D68" s="171" t="n"/>
      <c r="E68" s="171" t="n"/>
      <c r="F68" s="171" t="n"/>
      <c r="G68" s="171" t="n"/>
      <c r="H68" s="171" t="n"/>
      <c r="I68" s="171" t="n"/>
      <c r="J68" s="172" t="n"/>
    </row>
    <row r="69" ht="26" customHeight="1">
      <c r="A69" s="386" t="inlineStr">
        <is>
          <t>No</t>
        </is>
      </c>
      <c r="B69" s="387" t="inlineStr">
        <is>
          <t>Uraian Pekerjaan / Item</t>
        </is>
      </c>
      <c r="C69" s="388" t="inlineStr">
        <is>
          <t>Vol</t>
        </is>
      </c>
      <c r="D69" s="388" t="inlineStr">
        <is>
          <t>Sat</t>
        </is>
      </c>
      <c r="E69" s="388" t="inlineStr">
        <is>
          <t>Harga Sat (Rp)</t>
        </is>
      </c>
      <c r="F69" s="388" t="inlineStr">
        <is>
          <t>Total (Rp)</t>
        </is>
      </c>
      <c r="G69" s="388" t="inlineStr">
        <is>
          <t>Fase</t>
        </is>
      </c>
      <c r="H69" s="389" t="inlineStr">
        <is>
          <t>Keterangan</t>
        </is>
      </c>
      <c r="I69" s="178" t="n"/>
      <c r="J69" s="179" t="n"/>
    </row>
    <row r="70" ht="18" customHeight="1">
      <c r="A70" s="390" t="n">
        <v>1</v>
      </c>
      <c r="B70" s="391" t="inlineStr">
        <is>
          <t>Cangkul, sekop, garpu tanah (4 set)</t>
        </is>
      </c>
      <c r="C70" s="392" t="n">
        <v>4</v>
      </c>
      <c r="D70" s="390" t="inlineStr">
        <is>
          <t>set</t>
        </is>
      </c>
      <c r="E70" s="183" t="n">
        <v>120000</v>
      </c>
      <c r="F70" s="184" t="n">
        <v>480000</v>
      </c>
      <c r="G70" s="393" t="inlineStr">
        <is>
          <t>Fase 0</t>
        </is>
      </c>
      <c r="H70" s="394" t="n"/>
      <c r="I70" s="171" t="n"/>
      <c r="J70" s="172" t="n"/>
    </row>
    <row r="71" ht="18" customHeight="1">
      <c r="A71" s="187" t="n">
        <v>2</v>
      </c>
      <c r="B71" s="188" t="inlineStr">
        <is>
          <t>Knapsack sprayer 16L (2 unit)</t>
        </is>
      </c>
      <c r="C71" s="399" t="n">
        <v>2</v>
      </c>
      <c r="D71" s="187" t="inlineStr">
        <is>
          <t>unit</t>
        </is>
      </c>
      <c r="E71" s="183" t="n">
        <v>350000</v>
      </c>
      <c r="F71" s="184" t="n">
        <v>700000</v>
      </c>
      <c r="G71" s="400" t="inlineStr">
        <is>
          <t>Fase 1</t>
        </is>
      </c>
      <c r="H71" s="190" t="inlineStr">
        <is>
          <t>1 pupuk, 1 pestisida</t>
        </is>
      </c>
      <c r="I71" s="171" t="n"/>
      <c r="J71" s="172" t="n"/>
    </row>
    <row r="72" ht="18" customHeight="1">
      <c r="A72" s="390" t="n">
        <v>3</v>
      </c>
      <c r="B72" s="391" t="inlineStr">
        <is>
          <t>Timbangan digital 50kg</t>
        </is>
      </c>
      <c r="C72" s="392" t="n">
        <v>1</v>
      </c>
      <c r="D72" s="390" t="inlineStr">
        <is>
          <t>unit</t>
        </is>
      </c>
      <c r="E72" s="183" t="n">
        <v>450000</v>
      </c>
      <c r="F72" s="184" t="n">
        <v>450000</v>
      </c>
      <c r="G72" s="400" t="inlineStr">
        <is>
          <t>Fase 1</t>
        </is>
      </c>
      <c r="H72" s="394" t="inlineStr">
        <is>
          <t>Timbang hasil panen</t>
        </is>
      </c>
      <c r="I72" s="171" t="n"/>
      <c r="J72" s="172" t="n"/>
    </row>
    <row r="73" ht="18" customHeight="1">
      <c r="A73" s="187" t="n">
        <v>4</v>
      </c>
      <c r="B73" s="188" t="inlineStr">
        <is>
          <t>Karung panen 25kg &amp; 50kg</t>
        </is>
      </c>
      <c r="C73" s="399" t="n">
        <v>200</v>
      </c>
      <c r="D73" s="187" t="inlineStr">
        <is>
          <t>pcs</t>
        </is>
      </c>
      <c r="E73" s="183" t="n">
        <v>2500</v>
      </c>
      <c r="F73" s="184" t="n">
        <v>500000</v>
      </c>
      <c r="G73" s="400" t="inlineStr">
        <is>
          <t>Fase 1</t>
        </is>
      </c>
      <c r="H73" s="190" t="inlineStr">
        <is>
          <t>Restock tiap panen</t>
        </is>
      </c>
      <c r="I73" s="171" t="n"/>
      <c r="J73" s="172" t="n"/>
    </row>
    <row r="74" ht="18" customHeight="1">
      <c r="A74" s="390" t="n">
        <v>5</v>
      </c>
      <c r="B74" s="391" t="inlineStr">
        <is>
          <t>Keranjang plastik berlubang</t>
        </is>
      </c>
      <c r="C74" s="392" t="n">
        <v>20</v>
      </c>
      <c r="D74" s="390" t="inlineStr">
        <is>
          <t>pcs</t>
        </is>
      </c>
      <c r="E74" s="183" t="n">
        <v>25000</v>
      </c>
      <c r="F74" s="184" t="n">
        <v>500000</v>
      </c>
      <c r="G74" s="400" t="inlineStr">
        <is>
          <t>Fase 1</t>
        </is>
      </c>
      <c r="H74" s="394" t="inlineStr">
        <is>
          <t>Sortasi lapang</t>
        </is>
      </c>
      <c r="I74" s="171" t="n"/>
      <c r="J74" s="172" t="n"/>
    </row>
    <row r="75" ht="18" customHeight="1">
      <c r="A75" s="187" t="n">
        <v>6</v>
      </c>
      <c r="B75" s="188" t="inlineStr">
        <is>
          <t>APD: sepatu boot, sarung tangan, masker</t>
        </is>
      </c>
      <c r="C75" s="399" t="n">
        <v>4</v>
      </c>
      <c r="D75" s="187" t="inlineStr">
        <is>
          <t>set</t>
        </is>
      </c>
      <c r="E75" s="183" t="n">
        <v>100000</v>
      </c>
      <c r="F75" s="184" t="n">
        <v>400000</v>
      </c>
      <c r="G75" s="400" t="inlineStr">
        <is>
          <t>Fase 1</t>
        </is>
      </c>
      <c r="H75" s="190" t="inlineStr">
        <is>
          <t>Keselamatan kerja</t>
        </is>
      </c>
      <c r="I75" s="171" t="n"/>
      <c r="J75" s="172" t="n"/>
    </row>
    <row r="76" ht="18" customHeight="1">
      <c r="A76" s="390" t="n">
        <v>7</v>
      </c>
      <c r="B76" s="391" t="inlineStr">
        <is>
          <t>Garpu panen rimpang</t>
        </is>
      </c>
      <c r="C76" s="392" t="n">
        <v>6</v>
      </c>
      <c r="D76" s="390" t="inlineStr">
        <is>
          <t>unit</t>
        </is>
      </c>
      <c r="E76" s="183" t="n">
        <v>50000</v>
      </c>
      <c r="F76" s="184" t="n">
        <v>300000</v>
      </c>
      <c r="G76" s="400" t="inlineStr">
        <is>
          <t>Fase 1</t>
        </is>
      </c>
      <c r="H76" s="394" t="n"/>
      <c r="I76" s="171" t="n"/>
      <c r="J76" s="172" t="n"/>
    </row>
    <row r="77" ht="18" customHeight="1">
      <c r="A77" s="187" t="n">
        <v>8</v>
      </c>
      <c r="B77" s="188" t="inlineStr">
        <is>
          <t>Slicer jahe manual/listrik</t>
        </is>
      </c>
      <c r="C77" s="399" t="n">
        <v>2</v>
      </c>
      <c r="D77" s="187" t="inlineStr">
        <is>
          <t>unit</t>
        </is>
      </c>
      <c r="E77" s="183" t="n">
        <v>350000</v>
      </c>
      <c r="F77" s="184" t="n">
        <v>700000</v>
      </c>
      <c r="G77" s="400" t="inlineStr">
        <is>
          <t>Fase 1</t>
        </is>
      </c>
      <c r="H77" s="190" t="inlineStr">
        <is>
          <t>Untuk produk slice kering ekspor</t>
        </is>
      </c>
      <c r="I77" s="171" t="n"/>
      <c r="J77" s="172" t="n"/>
    </row>
    <row r="78" ht="20" customHeight="1">
      <c r="A78" s="402" t="inlineStr">
        <is>
          <t xml:space="preserve">  ▶ SUBTOTAL: ALAT &amp; PERLENGKAPAN</t>
        </is>
      </c>
      <c r="B78" s="178" t="n"/>
      <c r="C78" s="178" t="n"/>
      <c r="D78" s="178" t="n"/>
      <c r="E78" s="178" t="n"/>
      <c r="F78" s="403" t="n">
        <v>4030000</v>
      </c>
      <c r="G78" s="404" t="n"/>
      <c r="H78" s="178" t="n"/>
      <c r="I78" s="178" t="n"/>
      <c r="J78" s="179" t="n"/>
    </row>
    <row r="79"/>
    <row r="80" ht="20" customHeight="1">
      <c r="A80" s="385" t="inlineStr">
        <is>
          <t xml:space="preserve">  F. TENAGA KERJA LOKAL — SISTEM GAJI ADVANCE (dipotong dari porsi 40% saat panen)</t>
        </is>
      </c>
      <c r="B80" s="171" t="n"/>
      <c r="C80" s="171" t="n"/>
      <c r="D80" s="171" t="n"/>
      <c r="E80" s="171" t="n"/>
      <c r="F80" s="171" t="n"/>
      <c r="G80" s="171" t="n"/>
      <c r="H80" s="171" t="n"/>
      <c r="I80" s="171" t="n"/>
      <c r="J80" s="172" t="n"/>
    </row>
    <row r="81" ht="30" customHeight="1">
      <c r="A81" s="408" t="inlineStr">
        <is>
          <t xml:space="preserve">  ⚠️  SEMUA gaji di bawah ini = ADVANCE PAYMENT. Dibayar selama masa tanam dari modal yayasan. Total advance Rp 44,800,000 akan dipotong dari porsi 40% (= Rp 343,000,000) saat panen. Bonus panen per kelompok tenaga = Rp 298,200,000</t>
        </is>
      </c>
      <c r="B81" s="171" t="n"/>
      <c r="C81" s="171" t="n"/>
      <c r="D81" s="171" t="n"/>
      <c r="E81" s="171" t="n"/>
      <c r="F81" s="171" t="n"/>
      <c r="G81" s="171" t="n"/>
      <c r="H81" s="171" t="n"/>
      <c r="I81" s="171" t="n"/>
      <c r="J81" s="172" t="n"/>
    </row>
    <row r="82" ht="26" customHeight="1">
      <c r="A82" s="386" t="inlineStr">
        <is>
          <t>No</t>
        </is>
      </c>
      <c r="B82" s="387" t="inlineStr">
        <is>
          <t>Uraian Pekerjaan / Item</t>
        </is>
      </c>
      <c r="C82" s="388" t="inlineStr">
        <is>
          <t>Vol</t>
        </is>
      </c>
      <c r="D82" s="388" t="inlineStr">
        <is>
          <t>Sat</t>
        </is>
      </c>
      <c r="E82" s="388" t="inlineStr">
        <is>
          <t>Harga Sat (Rp)</t>
        </is>
      </c>
      <c r="F82" s="388" t="inlineStr">
        <is>
          <t>Total (Rp)</t>
        </is>
      </c>
      <c r="G82" s="388" t="inlineStr">
        <is>
          <t>Fase</t>
        </is>
      </c>
      <c r="H82" s="389" t="inlineStr">
        <is>
          <t>Keterangan</t>
        </is>
      </c>
      <c r="I82" s="178" t="n"/>
      <c r="J82" s="179" t="n"/>
    </row>
    <row r="83" ht="18" customHeight="1">
      <c r="A83" s="390" t="n">
        <v>1</v>
      </c>
      <c r="B83" s="405" t="inlineStr">
        <is>
          <t>Penanaman bibit (5 org × 4 hari)</t>
        </is>
      </c>
      <c r="C83" s="392" t="n">
        <v>20</v>
      </c>
      <c r="D83" s="390" t="inlineStr">
        <is>
          <t>HOK</t>
        </is>
      </c>
      <c r="E83" s="183" t="n">
        <v>150000</v>
      </c>
      <c r="F83" s="401" t="n">
        <v>3000000</v>
      </c>
      <c r="G83" s="400" t="inlineStr">
        <is>
          <t>Fase 1</t>
        </is>
      </c>
      <c r="H83" s="394" t="inlineStr">
        <is>
          <t>ADVANCE. Catat per nama pekerja</t>
        </is>
      </c>
      <c r="I83" s="171" t="n"/>
      <c r="J83" s="172" t="n"/>
    </row>
    <row r="84" ht="18" customHeight="1">
      <c r="A84" s="187" t="n">
        <v>2</v>
      </c>
      <c r="B84" s="409" t="inlineStr">
        <is>
          <t>Perawatan harian — 2 org × 8 bln</t>
        </is>
      </c>
      <c r="C84" s="399" t="n">
        <v>2</v>
      </c>
      <c r="D84" s="187" t="inlineStr">
        <is>
          <t>org/bln</t>
        </is>
      </c>
      <c r="E84" s="183" t="n">
        <v>2000000</v>
      </c>
      <c r="F84" s="401" t="n">
        <v>32000000</v>
      </c>
      <c r="G84" s="406" t="inlineStr">
        <is>
          <t>Rutin</t>
        </is>
      </c>
      <c r="H84" s="190" t="inlineStr">
        <is>
          <t>ADVANCE. Penyiraman, pemupukan, pantau hama</t>
        </is>
      </c>
      <c r="I84" s="171" t="n"/>
      <c r="J84" s="172" t="n"/>
    </row>
    <row r="85" ht="18" customHeight="1">
      <c r="A85" s="390" t="n">
        <v>3</v>
      </c>
      <c r="B85" s="391" t="inlineStr">
        <is>
          <t>Koordinator lahan / mandor (10 bln)</t>
        </is>
      </c>
      <c r="C85" s="392" t="n">
        <v>10</v>
      </c>
      <c r="D85" s="390" t="inlineStr">
        <is>
          <t>bln</t>
        </is>
      </c>
      <c r="E85" s="183" t="n">
        <v>500000</v>
      </c>
      <c r="F85" s="401" t="n">
        <v>5000000</v>
      </c>
      <c r="G85" s="406" t="inlineStr">
        <is>
          <t>Rutin</t>
        </is>
      </c>
      <c r="H85" s="394" t="inlineStr">
        <is>
          <t>ADVANCE. Dokumentasi, laporan mingguan ke yayasan</t>
        </is>
      </c>
      <c r="I85" s="171" t="n"/>
      <c r="J85" s="172" t="n"/>
    </row>
    <row r="86" ht="18" customHeight="1">
      <c r="A86" s="187" t="n">
        <v>4</v>
      </c>
      <c r="B86" s="409" t="inlineStr">
        <is>
          <t>Tenaga panen &amp; sortasi (8 org × 4 hari)</t>
        </is>
      </c>
      <c r="C86" s="399" t="n">
        <v>32</v>
      </c>
      <c r="D86" s="187" t="inlineStr">
        <is>
          <t>HOK</t>
        </is>
      </c>
      <c r="E86" s="183" t="n">
        <v>150000</v>
      </c>
      <c r="F86" s="401" t="n">
        <v>4800000</v>
      </c>
      <c r="G86" s="400" t="inlineStr">
        <is>
          <t>Fase 1</t>
        </is>
      </c>
      <c r="H86" s="190" t="inlineStr">
        <is>
          <t>ADVANCE. Cabut, cuci, sortasi A/B/C</t>
        </is>
      </c>
      <c r="I86" s="171" t="n"/>
      <c r="J86" s="172" t="n"/>
    </row>
    <row r="87" ht="20" customHeight="1">
      <c r="A87" s="410" t="inlineStr">
        <is>
          <t xml:space="preserve">  ▶ TOTAL ADVANCE GAJI (dibayar selama masa tanam)</t>
        </is>
      </c>
      <c r="B87" s="178" t="n"/>
      <c r="C87" s="178" t="n"/>
      <c r="D87" s="178" t="n"/>
      <c r="E87" s="178" t="n"/>
      <c r="F87" s="411" t="n">
        <v>44800000</v>
      </c>
      <c r="G87" s="412" t="inlineStr">
        <is>
          <t>Dipotong dari Porsi 40% = Rp 343,000,000. Sisa bonus tunai = Rp 298,200,000</t>
        </is>
      </c>
      <c r="H87" s="178" t="n"/>
      <c r="I87" s="178" t="n"/>
      <c r="J87" s="179" t="n"/>
    </row>
    <row r="88"/>
    <row r="89" ht="20" customHeight="1">
      <c r="A89" s="385" t="inlineStr">
        <is>
          <t xml:space="preserve">  G. PASCA PANEN, PENGOLAHAN &amp; PERSIAPAN EKSPOR</t>
        </is>
      </c>
      <c r="B89" s="171" t="n"/>
      <c r="C89" s="171" t="n"/>
      <c r="D89" s="171" t="n"/>
      <c r="E89" s="171" t="n"/>
      <c r="F89" s="171" t="n"/>
      <c r="G89" s="171" t="n"/>
      <c r="H89" s="171" t="n"/>
      <c r="I89" s="171" t="n"/>
      <c r="J89" s="172" t="n"/>
    </row>
    <row r="90" ht="26" customHeight="1">
      <c r="A90" s="386" t="inlineStr">
        <is>
          <t>No</t>
        </is>
      </c>
      <c r="B90" s="387" t="inlineStr">
        <is>
          <t>Uraian Pekerjaan / Item</t>
        </is>
      </c>
      <c r="C90" s="388" t="inlineStr">
        <is>
          <t>Vol</t>
        </is>
      </c>
      <c r="D90" s="388" t="inlineStr">
        <is>
          <t>Sat</t>
        </is>
      </c>
      <c r="E90" s="388" t="inlineStr">
        <is>
          <t>Harga Sat (Rp)</t>
        </is>
      </c>
      <c r="F90" s="388" t="inlineStr">
        <is>
          <t>Total (Rp)</t>
        </is>
      </c>
      <c r="G90" s="388" t="inlineStr">
        <is>
          <t>Fase</t>
        </is>
      </c>
      <c r="H90" s="389" t="inlineStr">
        <is>
          <t>Keterangan</t>
        </is>
      </c>
      <c r="I90" s="178" t="n"/>
      <c r="J90" s="179" t="n"/>
    </row>
    <row r="91" ht="18" customHeight="1">
      <c r="A91" s="390" t="n">
        <v>1</v>
      </c>
      <c r="B91" s="391" t="inlineStr">
        <is>
          <t>Pengeringan slice (oven 60°C, 12–16 jam)</t>
        </is>
      </c>
      <c r="C91" s="392" t="n">
        <v>1</v>
      </c>
      <c r="D91" s="390" t="inlineStr">
        <is>
          <t>paket</t>
        </is>
      </c>
      <c r="E91" s="183" t="n">
        <v>5000000</v>
      </c>
      <c r="F91" s="184" t="n">
        <v>5000000</v>
      </c>
      <c r="G91" s="400" t="inlineStr">
        <is>
          <t>Fase 1</t>
        </is>
      </c>
      <c r="H91" s="394" t="inlineStr">
        <is>
          <t>15 ton segar → ~5 ton kering</t>
        </is>
      </c>
      <c r="I91" s="171" t="n"/>
      <c r="J91" s="172" t="n"/>
    </row>
    <row r="92" ht="18" customHeight="1">
      <c r="A92" s="187" t="n">
        <v>2</v>
      </c>
      <c r="B92" s="188" t="inlineStr">
        <is>
          <t>Uji gingerol content + kadar air (SGS/BPOM)</t>
        </is>
      </c>
      <c r="C92" s="399" t="n">
        <v>2</v>
      </c>
      <c r="D92" s="187" t="inlineStr">
        <is>
          <t>sampel</t>
        </is>
      </c>
      <c r="E92" s="183" t="n">
        <v>1500000</v>
      </c>
      <c r="F92" s="184" t="n">
        <v>3000000</v>
      </c>
      <c r="G92" s="400" t="inlineStr">
        <is>
          <t>Fase 1</t>
        </is>
      </c>
      <c r="H92" s="190" t="inlineStr">
        <is>
          <t>Wajib untuk Jepang &amp; EU</t>
        </is>
      </c>
      <c r="I92" s="171" t="n"/>
      <c r="J92" s="172" t="n"/>
    </row>
    <row r="93" ht="18" customHeight="1">
      <c r="A93" s="390" t="n">
        <v>3</v>
      </c>
      <c r="B93" s="391" t="inlineStr">
        <is>
          <t>Phytosanitary certificate (BBKP)</t>
        </is>
      </c>
      <c r="C93" s="392" t="n">
        <v>1</v>
      </c>
      <c r="D93" s="390" t="inlineStr">
        <is>
          <t>sertifikat</t>
        </is>
      </c>
      <c r="E93" s="183" t="n">
        <v>1500000</v>
      </c>
      <c r="F93" s="184" t="n">
        <v>1500000</v>
      </c>
      <c r="G93" s="400" t="inlineStr">
        <is>
          <t>Fase 1</t>
        </is>
      </c>
      <c r="H93" s="394" t="inlineStr">
        <is>
          <t>Wajib tiap pengiriman ekspor</t>
        </is>
      </c>
      <c r="I93" s="171" t="n"/>
      <c r="J93" s="172" t="n"/>
    </row>
    <row r="94" ht="18" customHeight="1">
      <c r="A94" s="187" t="n">
        <v>4</v>
      </c>
      <c r="B94" s="188" t="inlineStr">
        <is>
          <t>Packaging karung PP woven 25kg</t>
        </is>
      </c>
      <c r="C94" s="399" t="n">
        <v>200</v>
      </c>
      <c r="D94" s="187" t="inlineStr">
        <is>
          <t>karung</t>
        </is>
      </c>
      <c r="E94" s="183" t="n">
        <v>5000</v>
      </c>
      <c r="F94" s="184" t="n">
        <v>1000000</v>
      </c>
      <c r="G94" s="400" t="inlineStr">
        <is>
          <t>Fase 1</t>
        </is>
      </c>
      <c r="H94" s="190" t="inlineStr">
        <is>
          <t>Label: origin, gingerol %, batch</t>
        </is>
      </c>
      <c r="I94" s="171" t="n"/>
      <c r="J94" s="172" t="n"/>
    </row>
    <row r="95" ht="18" customHeight="1">
      <c r="A95" s="390" t="n">
        <v>5</v>
      </c>
      <c r="B95" s="391" t="inlineStr">
        <is>
          <t>Freight + forwarder ke Tanjung Priok</t>
        </is>
      </c>
      <c r="C95" s="392" t="n">
        <v>1</v>
      </c>
      <c r="D95" s="390" t="inlineStr">
        <is>
          <t>paket</t>
        </is>
      </c>
      <c r="E95" s="183" t="n">
        <v>8000000</v>
      </c>
      <c r="F95" s="184" t="n">
        <v>8000000</v>
      </c>
      <c r="G95" s="400" t="inlineStr">
        <is>
          <t>Fase 1</t>
        </is>
      </c>
      <c r="H95" s="394" t="inlineStr">
        <is>
          <t>Truck + handling + B/L</t>
        </is>
      </c>
      <c r="I95" s="171" t="n"/>
      <c r="J95" s="172" t="n"/>
    </row>
    <row r="96" ht="20" customHeight="1">
      <c r="A96" s="402" t="inlineStr">
        <is>
          <t xml:space="preserve">  ▶ SUBTOTAL: PASCA PANEN &amp; EKSPOR</t>
        </is>
      </c>
      <c r="B96" s="178" t="n"/>
      <c r="C96" s="178" t="n"/>
      <c r="D96" s="178" t="n"/>
      <c r="E96" s="178" t="n"/>
      <c r="F96" s="403" t="n">
        <v>18500000</v>
      </c>
      <c r="G96" s="404" t="n"/>
      <c r="H96" s="178" t="n"/>
      <c r="I96" s="178" t="n"/>
      <c r="J96" s="179" t="n"/>
    </row>
    <row r="97"/>
    <row r="98" ht="34" customHeight="1">
      <c r="A98" s="413" t="inlineStr">
        <is>
          <t xml:space="preserve">  🏆 GRAND TOTAL INVESTASI — JAHE MERAH 1 HA</t>
        </is>
      </c>
      <c r="B98" s="200" t="n"/>
      <c r="C98" s="200" t="n"/>
      <c r="D98" s="200" t="n"/>
      <c r="E98" s="200" t="n"/>
      <c r="F98" s="414" t="n">
        <v>255200000</v>
      </c>
      <c r="G98" s="415" t="inlineStr">
        <is>
          <t>ROI Donatur: 33.6% | Bonus Tenaga: Rp 298,200,000 | Anak Binaan: Rp 25,725,000</t>
        </is>
      </c>
      <c r="H98" s="200" t="n"/>
      <c r="I98" s="200" t="n"/>
      <c r="J98" s="203" t="n"/>
    </row>
    <row r="99"/>
    <row r="100">
      <c r="A100" s="416" t="inlineStr">
        <is>
          <t xml:space="preserve">  🌏 EKSPOR &amp; STANDAR KUALITAS</t>
        </is>
      </c>
      <c r="B100" s="171" t="n"/>
      <c r="C100" s="171" t="n"/>
      <c r="D100" s="171" t="n"/>
      <c r="E100" s="171" t="n"/>
      <c r="F100" s="171" t="n"/>
      <c r="G100" s="171" t="n"/>
      <c r="H100" s="171" t="n"/>
      <c r="I100" s="171" t="n"/>
      <c r="J100" s="172" t="n"/>
    </row>
    <row r="101" ht="52" customHeight="1">
      <c r="A101" s="417" t="inlineStr">
        <is>
          <t>JAHE MERAH | Kadar air &lt;12%, gingerol &gt;2%, bebas aflatoksin | Harga FOB USD 900–1.400/ton kering = Rp 60.000–95.000/kg
Target: China 60% (spot), Jepang 20% (organik premium), Timur Tengah 20% | Offtaker: Sido Muncul, Air Mancur, eksportir rempah</t>
        </is>
      </c>
      <c r="B101" s="171" t="n"/>
      <c r="C101" s="171" t="n"/>
      <c r="D101" s="171" t="n"/>
      <c r="E101" s="171" t="n"/>
      <c r="F101" s="171" t="n"/>
      <c r="G101" s="171" t="n"/>
      <c r="H101" s="171" t="n"/>
      <c r="I101" s="171" t="n"/>
      <c r="J101" s="172" t="n"/>
    </row>
  </sheetData>
  <mergeCells count="109">
    <mergeCell ref="A17:G17"/>
    <mergeCell ref="G55:J55"/>
    <mergeCell ref="H17:J17"/>
    <mergeCell ref="H69:J69"/>
    <mergeCell ref="H11:J11"/>
    <mergeCell ref="A87:E87"/>
    <mergeCell ref="A9:G9"/>
    <mergeCell ref="H84:J84"/>
    <mergeCell ref="H22:J22"/>
    <mergeCell ref="H75:J75"/>
    <mergeCell ref="G96:J96"/>
    <mergeCell ref="H86:J86"/>
    <mergeCell ref="A11:G11"/>
    <mergeCell ref="H95:J95"/>
    <mergeCell ref="H5:J5"/>
    <mergeCell ref="H92:J92"/>
    <mergeCell ref="H29:J29"/>
    <mergeCell ref="G66:J66"/>
    <mergeCell ref="H44:J44"/>
    <mergeCell ref="H58:J58"/>
    <mergeCell ref="H64:J64"/>
    <mergeCell ref="H21:J21"/>
    <mergeCell ref="H73:J73"/>
    <mergeCell ref="H51:J51"/>
    <mergeCell ref="A32:J32"/>
    <mergeCell ref="H60:J60"/>
    <mergeCell ref="A8:G8"/>
    <mergeCell ref="A4:J4"/>
    <mergeCell ref="A81:J81"/>
    <mergeCell ref="H7:J7"/>
    <mergeCell ref="H16:J16"/>
    <mergeCell ref="A78:E78"/>
    <mergeCell ref="A40:J40"/>
    <mergeCell ref="H27:J27"/>
    <mergeCell ref="H77:J77"/>
    <mergeCell ref="H33:J33"/>
    <mergeCell ref="A55:E55"/>
    <mergeCell ref="H42:J42"/>
    <mergeCell ref="G38:J38"/>
    <mergeCell ref="H35:J35"/>
    <mergeCell ref="A38:E38"/>
    <mergeCell ref="A96:E96"/>
    <mergeCell ref="A12:G12"/>
    <mergeCell ref="A2:J2"/>
    <mergeCell ref="H59:J59"/>
    <mergeCell ref="A5:G5"/>
    <mergeCell ref="A14:G14"/>
    <mergeCell ref="H46:J46"/>
    <mergeCell ref="H25:J25"/>
    <mergeCell ref="H52:J52"/>
    <mergeCell ref="H61:J61"/>
    <mergeCell ref="A20:J20"/>
    <mergeCell ref="H70:J70"/>
    <mergeCell ref="H45:J45"/>
    <mergeCell ref="H90:J90"/>
    <mergeCell ref="H13:J13"/>
    <mergeCell ref="H65:J65"/>
    <mergeCell ref="H47:J47"/>
    <mergeCell ref="A66:E66"/>
    <mergeCell ref="H15:J15"/>
    <mergeCell ref="H71:J71"/>
    <mergeCell ref="H24:J24"/>
    <mergeCell ref="H18:J18"/>
    <mergeCell ref="H76:J76"/>
    <mergeCell ref="H8:J8"/>
    <mergeCell ref="A16:G16"/>
    <mergeCell ref="H26:J26"/>
    <mergeCell ref="H82:J82"/>
    <mergeCell ref="H53:J53"/>
    <mergeCell ref="A41:J41"/>
    <mergeCell ref="H63:J63"/>
    <mergeCell ref="A18:G18"/>
    <mergeCell ref="H50:J50"/>
    <mergeCell ref="G78:J78"/>
    <mergeCell ref="G87:J87"/>
    <mergeCell ref="H34:J34"/>
    <mergeCell ref="H9:J9"/>
    <mergeCell ref="A101:J101"/>
    <mergeCell ref="A30:E30"/>
    <mergeCell ref="H49:J49"/>
    <mergeCell ref="H36:J36"/>
    <mergeCell ref="H85:J85"/>
    <mergeCell ref="H94:J94"/>
    <mergeCell ref="A98:E98"/>
    <mergeCell ref="A100:J100"/>
    <mergeCell ref="A68:J68"/>
    <mergeCell ref="A13:G13"/>
    <mergeCell ref="H72:J72"/>
    <mergeCell ref="H28:J28"/>
    <mergeCell ref="H37:J37"/>
    <mergeCell ref="H12:J12"/>
    <mergeCell ref="A15:G15"/>
    <mergeCell ref="H48:J48"/>
    <mergeCell ref="G98:J98"/>
    <mergeCell ref="A1:J1"/>
    <mergeCell ref="H62:J62"/>
    <mergeCell ref="H14:J14"/>
    <mergeCell ref="H23:J23"/>
    <mergeCell ref="A7:G7"/>
    <mergeCell ref="H91:J91"/>
    <mergeCell ref="H43:J43"/>
    <mergeCell ref="A80:J80"/>
    <mergeCell ref="H54:J54"/>
    <mergeCell ref="A89:J89"/>
    <mergeCell ref="H93:J93"/>
    <mergeCell ref="G30:J30"/>
    <mergeCell ref="A57:J57"/>
    <mergeCell ref="H74:J74"/>
    <mergeCell ref="H83:J8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418" t="inlineStr">
        <is>
          <t>🌿 PAKET INVESTASI — JAHE BIASA (GAJAH) 1 HA  |  8–10 Bulan</t>
        </is>
      </c>
    </row>
    <row r="2" ht="18" customHeight="1">
      <c r="A2" s="169" t="inlineStr">
        <is>
          <t>Hasil estimasi: 20,000 kg/ha  ·  Lokal Rp 8,000/kg  ·  Ekspor Rp 40,000/kg  ·  Target: China, India, Bangladesh, Pakistan</t>
        </is>
      </c>
    </row>
    <row r="3"/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19" t="inlineStr">
        <is>
          <t xml:space="preserve">  MODAL INVESTASI TOTAL</t>
        </is>
      </c>
      <c r="B5" s="171" t="n"/>
      <c r="C5" s="171" t="n"/>
      <c r="D5" s="171" t="n"/>
      <c r="E5" s="171" t="n"/>
      <c r="F5" s="171" t="n"/>
      <c r="G5" s="171" t="n"/>
      <c r="H5" s="420" t="n">
        <v>201250000</v>
      </c>
      <c r="I5" s="171" t="n"/>
      <c r="J5" s="172" t="n"/>
    </row>
    <row r="6"/>
    <row r="7" ht="20" customHeight="1">
      <c r="A7" s="364" t="inlineStr">
        <is>
          <t xml:space="preserve">  Est. Revenue Bruto (Mix 30/70 Lokal/Ekspor)</t>
        </is>
      </c>
      <c r="B7" s="171" t="n"/>
      <c r="C7" s="171" t="n"/>
      <c r="D7" s="171" t="n"/>
      <c r="E7" s="171" t="n"/>
      <c r="F7" s="171" t="n"/>
      <c r="G7" s="171" t="n"/>
      <c r="H7" s="365" t="n">
        <v>608000000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50,000,000)</t>
        </is>
      </c>
      <c r="I8" s="171" t="n"/>
      <c r="J8" s="172" t="n"/>
    </row>
    <row r="9" ht="20" customHeight="1">
      <c r="A9" s="368" t="inlineStr">
        <is>
          <t xml:space="preserve">  SISA BERSIH (DASAR BAGI HASIL)</t>
        </is>
      </c>
      <c r="B9" s="171" t="n"/>
      <c r="C9" s="171" t="n"/>
      <c r="D9" s="171" t="n"/>
      <c r="E9" s="171" t="n"/>
      <c r="F9" s="171" t="n"/>
      <c r="G9" s="171" t="n"/>
      <c r="H9" s="369" t="n">
        <v>558000000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223200000</v>
      </c>
      <c r="I11" s="171" t="n"/>
      <c r="J11" s="172" t="n"/>
    </row>
    <row r="12" ht="20" customHeight="1">
      <c r="A12" s="372" t="inlineStr">
        <is>
          <t xml:space="preserve">  💰 Donatur 10%</t>
        </is>
      </c>
      <c r="B12" s="171" t="n"/>
      <c r="C12" s="171" t="n"/>
      <c r="D12" s="171" t="n"/>
      <c r="E12" s="171" t="n"/>
      <c r="F12" s="171" t="n"/>
      <c r="G12" s="171" t="n"/>
      <c r="H12" s="373" t="n">
        <v>55800000</v>
      </c>
      <c r="I12" s="171" t="n"/>
      <c r="J12" s="172" t="n"/>
    </row>
    <row r="13" ht="20" customHeight="1">
      <c r="A13" s="374" t="inlineStr">
        <is>
          <t xml:space="preserve">    → ROI Donatur</t>
        </is>
      </c>
      <c r="B13" s="171" t="n"/>
      <c r="C13" s="171" t="n"/>
      <c r="D13" s="171" t="n"/>
      <c r="E13" s="171" t="n"/>
      <c r="F13" s="171" t="n"/>
      <c r="G13" s="171" t="n"/>
      <c r="H13" s="375" t="inlineStr">
        <is>
          <t>27.7%</t>
        </is>
      </c>
      <c r="I13" s="171" t="n"/>
      <c r="J13" s="172" t="n"/>
    </row>
    <row r="14" ht="20" customHeight="1">
      <c r="A14" s="366" t="inlineStr">
        <is>
          <t xml:space="preserve">  👷 Tenaga Lokal 40%</t>
        </is>
      </c>
      <c r="B14" s="171" t="n"/>
      <c r="C14" s="171" t="n"/>
      <c r="D14" s="171" t="n"/>
      <c r="E14" s="171" t="n"/>
      <c r="F14" s="171" t="n"/>
      <c r="G14" s="171" t="n"/>
      <c r="H14" s="376" t="n">
        <v>223200000</v>
      </c>
      <c r="I14" s="171" t="n"/>
      <c r="J14" s="172" t="n"/>
    </row>
    <row r="15" ht="20" customHeight="1">
      <c r="A15" s="377" t="inlineStr">
        <is>
          <t xml:space="preserve">    → Sudah dibayar advance (gaji selama tanam)</t>
        </is>
      </c>
      <c r="B15" s="171" t="n"/>
      <c r="C15" s="171" t="n"/>
      <c r="D15" s="171" t="n"/>
      <c r="E15" s="171" t="n"/>
      <c r="F15" s="171" t="n"/>
      <c r="G15" s="171" t="n"/>
      <c r="H15" s="378" t="inlineStr">
        <is>
          <t>(Rp 46,750,000)</t>
        </is>
      </c>
      <c r="I15" s="171" t="n"/>
      <c r="J15" s="172" t="n"/>
    </row>
    <row r="16" ht="20" customHeight="1">
      <c r="A16" s="379" t="inlineStr">
        <is>
          <t xml:space="preserve">    → BONUS PANEN (terima tunai saat panen)</t>
        </is>
      </c>
      <c r="B16" s="171" t="n"/>
      <c r="C16" s="171" t="n"/>
      <c r="D16" s="171" t="n"/>
      <c r="E16" s="171" t="n"/>
      <c r="F16" s="171" t="n"/>
      <c r="G16" s="171" t="n"/>
      <c r="H16" s="380" t="n">
        <v>176450000</v>
      </c>
      <c r="I16" s="171" t="n"/>
      <c r="J16" s="172" t="n"/>
    </row>
    <row r="17" ht="20" customHeight="1">
      <c r="A17" s="381" t="inlineStr">
        <is>
          <t xml:space="preserve">  👦 Anak Binaan avg 3%</t>
        </is>
      </c>
      <c r="B17" s="171" t="n"/>
      <c r="C17" s="171" t="n"/>
      <c r="D17" s="171" t="n"/>
      <c r="E17" s="171" t="n"/>
      <c r="F17" s="171" t="n"/>
      <c r="G17" s="171" t="n"/>
      <c r="H17" s="382" t="n">
        <v>16740000</v>
      </c>
      <c r="I17" s="171" t="n"/>
      <c r="J17" s="172" t="n"/>
    </row>
    <row r="18" ht="20" customHeight="1">
      <c r="A18" s="383" t="inlineStr">
        <is>
          <t xml:space="preserve">  🎯 Fee Manajemen 10%</t>
        </is>
      </c>
      <c r="B18" s="171" t="n"/>
      <c r="C18" s="171" t="n"/>
      <c r="D18" s="171" t="n"/>
      <c r="E18" s="171" t="n"/>
      <c r="F18" s="171" t="n"/>
      <c r="G18" s="171" t="n"/>
      <c r="H18" s="384" t="n">
        <v>55800000</v>
      </c>
      <c r="I18" s="171" t="n"/>
      <c r="J18" s="172" t="n"/>
    </row>
    <row r="19"/>
    <row r="20" ht="20" customHeight="1">
      <c r="A20" s="385" t="inlineStr">
        <is>
          <t xml:space="preserve">  A. PERSIAPAN &amp; PENGOLAHAN LAHAN (sama semua komoditi)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26" customHeight="1">
      <c r="A21" s="421" t="inlineStr">
        <is>
          <t>No</t>
        </is>
      </c>
      <c r="B21" s="422" t="inlineStr">
        <is>
          <t>Uraian Pekerjaan / Item</t>
        </is>
      </c>
      <c r="C21" s="423" t="inlineStr">
        <is>
          <t>Vol</t>
        </is>
      </c>
      <c r="D21" s="423" t="inlineStr">
        <is>
          <t>Sat</t>
        </is>
      </c>
      <c r="E21" s="423" t="inlineStr">
        <is>
          <t>Harga Sat (Rp)</t>
        </is>
      </c>
      <c r="F21" s="423" t="inlineStr">
        <is>
          <t>Total (Rp)</t>
        </is>
      </c>
      <c r="G21" s="423" t="inlineStr">
        <is>
          <t>Fase</t>
        </is>
      </c>
      <c r="H21" s="424" t="inlineStr">
        <is>
          <t>Keterangan</t>
        </is>
      </c>
      <c r="I21" s="178" t="n"/>
      <c r="J21" s="179" t="n"/>
    </row>
    <row r="22" ht="18" customHeight="1">
      <c r="A22" s="180" t="n">
        <v>1</v>
      </c>
      <c r="B22" s="181" t="inlineStr">
        <is>
          <t>Survei &amp; analisa tanah (pH, NPK, tekstur)</t>
        </is>
      </c>
      <c r="C22" s="425" t="n">
        <v>1</v>
      </c>
      <c r="D22" s="180" t="inlineStr">
        <is>
          <t>paket</t>
        </is>
      </c>
      <c r="E22" s="183" t="n">
        <v>1500000</v>
      </c>
      <c r="F22" s="184" t="n">
        <v>1500000</v>
      </c>
      <c r="G22" s="393" t="inlineStr">
        <is>
          <t>Fase 0</t>
        </is>
      </c>
      <c r="H22" s="186" t="inlineStr">
        <is>
          <t>Balai Pertanian setempat. pH target 6.0–6.5 untuk semua rempah</t>
        </is>
      </c>
      <c r="I22" s="171" t="n"/>
      <c r="J22" s="172" t="n"/>
    </row>
    <row r="23" ht="18" customHeight="1">
      <c r="A23" s="395" t="n">
        <v>2</v>
      </c>
      <c r="B23" s="396" t="inlineStr">
        <is>
          <t>Pembersihan lahan (babat, cabut tunggul)</t>
        </is>
      </c>
      <c r="C23" s="397" t="n">
        <v>10000</v>
      </c>
      <c r="D23" s="395" t="inlineStr">
        <is>
          <t>m²</t>
        </is>
      </c>
      <c r="E23" s="183" t="n">
        <v>500</v>
      </c>
      <c r="F23" s="184" t="n">
        <v>5000000</v>
      </c>
      <c r="G23" s="393" t="inlineStr">
        <is>
          <t>Fase 0</t>
        </is>
      </c>
      <c r="H23" s="398" t="inlineStr">
        <is>
          <t>3 pekerja lokal × 10 hari × Rp 150.000. Prioritas warga sekitar yayasan</t>
        </is>
      </c>
      <c r="I23" s="171" t="n"/>
      <c r="J23" s="172" t="n"/>
    </row>
    <row r="24" ht="18" customHeight="1">
      <c r="A24" s="180" t="n">
        <v>3</v>
      </c>
      <c r="B24" s="181" t="inlineStr">
        <is>
          <t>Pengolahan tanah — bajak 2× (mini traktor)</t>
        </is>
      </c>
      <c r="C24" s="425" t="n">
        <v>10000</v>
      </c>
      <c r="D24" s="180" t="inlineStr">
        <is>
          <t>m²</t>
        </is>
      </c>
      <c r="E24" s="183" t="n">
        <v>800</v>
      </c>
      <c r="F24" s="184" t="n">
        <v>8000000</v>
      </c>
      <c r="G24" s="393" t="inlineStr">
        <is>
          <t>Fase 0</t>
        </is>
      </c>
      <c r="H24" s="186" t="inlineStr">
        <is>
          <t>Sewa traktor lokal. Kedalaman 30cm, buat struktur tanah gembur</t>
        </is>
      </c>
      <c r="I24" s="171" t="n"/>
      <c r="J24" s="172" t="n"/>
    </row>
    <row r="25" ht="18" customHeight="1">
      <c r="A25" s="187" t="n">
        <v>4</v>
      </c>
      <c r="B25" s="188" t="inlineStr">
        <is>
          <t>Aplikasi kapur dolomit (naikkan pH)</t>
        </is>
      </c>
      <c r="C25" s="399" t="n">
        <v>2000</v>
      </c>
      <c r="D25" s="187" t="inlineStr">
        <is>
          <t>kg</t>
        </is>
      </c>
      <c r="E25" s="183" t="n">
        <v>1000</v>
      </c>
      <c r="F25" s="184" t="n">
        <v>2000000</v>
      </c>
      <c r="G25" s="393" t="inlineStr">
        <is>
          <t>Fase 0</t>
        </is>
      </c>
      <c r="H25" s="190" t="inlineStr">
        <is>
          <t>2 minggu sebelum tanam. Target pH 6.0–6.5</t>
        </is>
      </c>
      <c r="I25" s="171" t="n"/>
      <c r="J25" s="172" t="n"/>
    </row>
    <row r="26" ht="18" customHeight="1">
      <c r="A26" s="180" t="n">
        <v>5</v>
      </c>
      <c r="B26" s="181" t="inlineStr">
        <is>
          <t>Pembuatan bedengan + saluran drainase</t>
        </is>
      </c>
      <c r="C26" s="425" t="n">
        <v>10000</v>
      </c>
      <c r="D26" s="180" t="inlineStr">
        <is>
          <t>m²</t>
        </is>
      </c>
      <c r="E26" s="183" t="n">
        <v>400</v>
      </c>
      <c r="F26" s="184" t="n">
        <v>4000000</v>
      </c>
      <c r="G26" s="393" t="inlineStr">
        <is>
          <t>Fase 0</t>
        </is>
      </c>
      <c r="H26" s="186" t="inlineStr">
        <is>
          <t>Lebar 100cm, tinggi 30cm, jarak 40cm antar bedeng</t>
        </is>
      </c>
      <c r="I26" s="171" t="n"/>
      <c r="J26" s="172" t="n"/>
    </row>
    <row r="27" ht="18" customHeight="1">
      <c r="A27" s="187" t="n">
        <v>6</v>
      </c>
      <c r="B27" s="188" t="inlineStr">
        <is>
          <t>Pemasangan mulsa plastik hitam perak</t>
        </is>
      </c>
      <c r="C27" s="399" t="n">
        <v>100</v>
      </c>
      <c r="D27" s="187" t="inlineStr">
        <is>
          <t>roll</t>
        </is>
      </c>
      <c r="E27" s="183" t="n">
        <v>60000</v>
      </c>
      <c r="F27" s="184" t="n">
        <v>6000000</v>
      </c>
      <c r="G27" s="400" t="inlineStr">
        <is>
          <t>Fase 1</t>
        </is>
      </c>
      <c r="H27" s="190" t="inlineStr">
        <is>
          <t>Wajib! Kendalikan gulma &amp; kelembaban tanah</t>
        </is>
      </c>
      <c r="I27" s="171" t="n"/>
      <c r="J27" s="172" t="n"/>
    </row>
    <row r="28" ht="18" customHeight="1">
      <c r="A28" s="180" t="n">
        <v>7</v>
      </c>
      <c r="B28" s="181" t="inlineStr">
        <is>
          <t>Pembuatan jalan setapak antar bedeng</t>
        </is>
      </c>
      <c r="C28" s="425" t="n">
        <v>1</v>
      </c>
      <c r="D28" s="180" t="inlineStr">
        <is>
          <t>paket</t>
        </is>
      </c>
      <c r="E28" s="183" t="n">
        <v>3000000</v>
      </c>
      <c r="F28" s="184" t="n">
        <v>3000000</v>
      </c>
      <c r="G28" s="400" t="inlineStr">
        <is>
          <t>Fase 1</t>
        </is>
      </c>
      <c r="H28" s="186" t="inlineStr">
        <is>
          <t>Sirtu atau batu kali, lebar 40cm</t>
        </is>
      </c>
      <c r="I28" s="171" t="n"/>
      <c r="J28" s="172" t="n"/>
    </row>
    <row r="29" ht="18" customHeight="1">
      <c r="A29" s="395" t="n">
        <v>8</v>
      </c>
      <c r="B29" s="396" t="inlineStr">
        <is>
          <t>Gaji pekerja lokal persiapan lahan (total)</t>
        </is>
      </c>
      <c r="C29" s="397" t="n">
        <v>15</v>
      </c>
      <c r="D29" s="395" t="inlineStr">
        <is>
          <t>HOK</t>
        </is>
      </c>
      <c r="E29" s="183" t="n">
        <v>150000</v>
      </c>
      <c r="F29" s="401" t="n">
        <v>2250000</v>
      </c>
      <c r="G29" s="393" t="inlineStr">
        <is>
          <t>Fase 0</t>
        </is>
      </c>
      <c r="H29" s="398" t="inlineStr">
        <is>
          <t>⚠️ ADVANCE: dicatat sebagai pinjaman, dipotong dari porsi 40% saat panen</t>
        </is>
      </c>
      <c r="I29" s="171" t="n"/>
      <c r="J29" s="172" t="n"/>
    </row>
    <row r="30" ht="20" customHeight="1">
      <c r="A30" s="426" t="inlineStr">
        <is>
          <t xml:space="preserve">  ▶ SUBTOTAL: PERSIAPAN LAHAN</t>
        </is>
      </c>
      <c r="B30" s="178" t="n"/>
      <c r="C30" s="178" t="n"/>
      <c r="D30" s="178" t="n"/>
      <c r="E30" s="178" t="n"/>
      <c r="F30" s="427" t="n">
        <v>31750000</v>
      </c>
      <c r="G30" s="428" t="n"/>
      <c r="H30" s="178" t="n"/>
      <c r="I30" s="178" t="n"/>
      <c r="J30" s="179" t="n"/>
    </row>
    <row r="31"/>
    <row r="32" ht="20" customHeight="1">
      <c r="A32" s="385" t="inlineStr">
        <is>
          <t xml:space="preserve">  B. PEMBIBITAN &amp; PENGADAAN BIBIT — Jahe Biasa (Gajah)</t>
        </is>
      </c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2" t="n"/>
    </row>
    <row r="33" ht="26" customHeight="1">
      <c r="A33" s="421" t="inlineStr">
        <is>
          <t>No</t>
        </is>
      </c>
      <c r="B33" s="422" t="inlineStr">
        <is>
          <t>Uraian Pekerjaan / Item</t>
        </is>
      </c>
      <c r="C33" s="423" t="inlineStr">
        <is>
          <t>Vol</t>
        </is>
      </c>
      <c r="D33" s="423" t="inlineStr">
        <is>
          <t>Sat</t>
        </is>
      </c>
      <c r="E33" s="423" t="inlineStr">
        <is>
          <t>Harga Sat (Rp)</t>
        </is>
      </c>
      <c r="F33" s="423" t="inlineStr">
        <is>
          <t>Total (Rp)</t>
        </is>
      </c>
      <c r="G33" s="423" t="inlineStr">
        <is>
          <t>Fase</t>
        </is>
      </c>
      <c r="H33" s="424" t="inlineStr">
        <is>
          <t>Keterangan</t>
        </is>
      </c>
      <c r="I33" s="178" t="n"/>
      <c r="J33" s="179" t="n"/>
    </row>
    <row r="34" ht="18" customHeight="1">
      <c r="A34" s="180" t="n">
        <v>1</v>
      </c>
      <c r="B34" s="196" t="inlineStr">
        <is>
          <t>Bibit rimpang jahe gajah (30–40g/bibit)</t>
        </is>
      </c>
      <c r="C34" s="425" t="n">
        <v>40000</v>
      </c>
      <c r="D34" s="180" t="inlineStr">
        <is>
          <t>bibit</t>
        </is>
      </c>
      <c r="E34" s="183" t="n">
        <v>1200</v>
      </c>
      <c r="F34" s="184" t="n">
        <v>48000000</v>
      </c>
      <c r="G34" s="400" t="inlineStr">
        <is>
          <t>Fase 1</t>
        </is>
      </c>
      <c r="H34" s="186" t="inlineStr">
        <is>
          <t>Lebih murah, yield lebih besar (20 ton/ha)</t>
        </is>
      </c>
      <c r="I34" s="171" t="n"/>
      <c r="J34" s="172" t="n"/>
    </row>
    <row r="35" ht="18" customHeight="1">
      <c r="A35" s="187" t="n">
        <v>2</v>
      </c>
      <c r="B35" s="188" t="inlineStr">
        <is>
          <t>Polybag semai + media cocopeat</t>
        </is>
      </c>
      <c r="C35" s="399" t="n">
        <v>40000</v>
      </c>
      <c r="D35" s="187" t="inlineStr">
        <is>
          <t>pcs</t>
        </is>
      </c>
      <c r="E35" s="183" t="n">
        <v>200</v>
      </c>
      <c r="F35" s="184" t="n">
        <v>8000000</v>
      </c>
      <c r="G35" s="400" t="inlineStr">
        <is>
          <t>Fase 1</t>
        </is>
      </c>
      <c r="H35" s="190" t="inlineStr">
        <is>
          <t>Semai 2 minggu sebelum pindah tanam</t>
        </is>
      </c>
      <c r="I35" s="171" t="n"/>
      <c r="J35" s="172" t="n"/>
    </row>
    <row r="36" ht="18" customHeight="1">
      <c r="A36" s="180" t="n">
        <v>3</v>
      </c>
      <c r="B36" s="181" t="inlineStr">
        <is>
          <t>Fungisida Ridomil (celup bibit)</t>
        </is>
      </c>
      <c r="C36" s="425" t="n">
        <v>1</v>
      </c>
      <c r="D36" s="180" t="inlineStr">
        <is>
          <t>kg</t>
        </is>
      </c>
      <c r="E36" s="183" t="n">
        <v>250000</v>
      </c>
      <c r="F36" s="184" t="n">
        <v>250000</v>
      </c>
      <c r="G36" s="400" t="inlineStr">
        <is>
          <t>Fase 1</t>
        </is>
      </c>
      <c r="H36" s="186" t="inlineStr">
        <is>
          <t>Cegah busuk Pythium</t>
        </is>
      </c>
      <c r="I36" s="171" t="n"/>
      <c r="J36" s="172" t="n"/>
    </row>
    <row r="37" ht="18" customHeight="1">
      <c r="A37" s="187" t="n">
        <v>4</v>
      </c>
      <c r="B37" s="188" t="inlineStr">
        <is>
          <t>KNO3 pembesaran rimpang (bln 4–8)</t>
        </is>
      </c>
      <c r="C37" s="399" t="n">
        <v>150</v>
      </c>
      <c r="D37" s="187" t="inlineStr">
        <is>
          <t>kg</t>
        </is>
      </c>
      <c r="E37" s="183" t="n">
        <v>25000</v>
      </c>
      <c r="F37" s="184" t="n">
        <v>3750000</v>
      </c>
      <c r="G37" s="406" t="inlineStr">
        <is>
          <t>Rutin</t>
        </is>
      </c>
      <c r="H37" s="190" t="inlineStr">
        <is>
          <t>Jahe gajah target rimpang besar, K lebih banyak</t>
        </is>
      </c>
      <c r="I37" s="171" t="n"/>
      <c r="J37" s="172" t="n"/>
    </row>
    <row r="38" ht="20" customHeight="1">
      <c r="A38" s="426" t="inlineStr">
        <is>
          <t xml:space="preserve">  ▶ SUBTOTAL: BIBIT JAHE BIASA (GAJAH)</t>
        </is>
      </c>
      <c r="B38" s="178" t="n"/>
      <c r="C38" s="178" t="n"/>
      <c r="D38" s="178" t="n"/>
      <c r="E38" s="178" t="n"/>
      <c r="F38" s="427" t="n">
        <v>60000000</v>
      </c>
      <c r="G38" s="428" t="n"/>
      <c r="H38" s="178" t="n"/>
      <c r="I38" s="178" t="n"/>
      <c r="J38" s="179" t="n"/>
    </row>
    <row r="39"/>
    <row r="40" ht="20" customHeight="1">
      <c r="A40" s="385" t="inlineStr">
        <is>
          <t xml:space="preserve">  C. IRIGASI &amp; INSTALASI PIPA (dari titik keran yayasan ke lahan)</t>
        </is>
      </c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2" t="n"/>
    </row>
    <row r="41" ht="22" customHeight="1">
      <c r="A41" s="407" t="inlineStr">
        <is>
          <t xml:space="preserve">  ℹ️  Yayasan menyediakan TITIK KERAN di jalur utama. Biaya di bawah adalah dari keran → area tanam masing-masing lahan.</t>
        </is>
      </c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2" t="n"/>
    </row>
    <row r="42" ht="26" customHeight="1">
      <c r="A42" s="421" t="inlineStr">
        <is>
          <t>No</t>
        </is>
      </c>
      <c r="B42" s="422" t="inlineStr">
        <is>
          <t>Uraian Pekerjaan / Item</t>
        </is>
      </c>
      <c r="C42" s="423" t="inlineStr">
        <is>
          <t>Vol</t>
        </is>
      </c>
      <c r="D42" s="423" t="inlineStr">
        <is>
          <t>Sat</t>
        </is>
      </c>
      <c r="E42" s="423" t="inlineStr">
        <is>
          <t>Harga Sat (Rp)</t>
        </is>
      </c>
      <c r="F42" s="423" t="inlineStr">
        <is>
          <t>Total (Rp)</t>
        </is>
      </c>
      <c r="G42" s="423" t="inlineStr">
        <is>
          <t>Fase</t>
        </is>
      </c>
      <c r="H42" s="424" t="inlineStr">
        <is>
          <t>Keterangan</t>
        </is>
      </c>
      <c r="I42" s="178" t="n"/>
      <c r="J42" s="179" t="n"/>
    </row>
    <row r="43" ht="18" customHeight="1">
      <c r="A43" s="180" t="n">
        <v>1</v>
      </c>
      <c r="B43" s="181" t="inlineStr">
        <is>
          <t>Tandon air 1.000L PE food grade (2 unit)</t>
        </is>
      </c>
      <c r="C43" s="425" t="n">
        <v>2</v>
      </c>
      <c r="D43" s="180" t="inlineStr">
        <is>
          <t>unit</t>
        </is>
      </c>
      <c r="E43" s="183" t="n">
        <v>800000</v>
      </c>
      <c r="F43" s="184" t="n">
        <v>1600000</v>
      </c>
      <c r="G43" s="400" t="inlineStr">
        <is>
          <t>Fase 1</t>
        </is>
      </c>
      <c r="H43" s="186" t="inlineStr">
        <is>
          <t>Titik tertinggi lahan. Gravitasi bantu tekanan</t>
        </is>
      </c>
      <c r="I43" s="171" t="n"/>
      <c r="J43" s="172" t="n"/>
    </row>
    <row r="44" ht="18" customHeight="1">
      <c r="A44" s="187" t="n">
        <v>2</v>
      </c>
      <c r="B44" s="188" t="inlineStr">
        <is>
          <t>Pipa PVC 1,5" utama dari tandon</t>
        </is>
      </c>
      <c r="C44" s="399" t="n">
        <v>6</v>
      </c>
      <c r="D44" s="187" t="inlineStr">
        <is>
          <t>btg 4m</t>
        </is>
      </c>
      <c r="E44" s="183" t="n">
        <v>45000</v>
      </c>
      <c r="F44" s="184" t="n">
        <v>270000</v>
      </c>
      <c r="G44" s="400" t="inlineStr">
        <is>
          <t>Fase 1</t>
        </is>
      </c>
      <c r="H44" s="190" t="inlineStr">
        <is>
          <t>~20m dari tandon ke manifold</t>
        </is>
      </c>
      <c r="I44" s="171" t="n"/>
      <c r="J44" s="172" t="n"/>
    </row>
    <row r="45" ht="18" customHeight="1">
      <c r="A45" s="180" t="n">
        <v>3</v>
      </c>
      <c r="B45" s="181" t="inlineStr">
        <is>
          <t>Manifold PVC 1" (header per zona irigasi)</t>
        </is>
      </c>
      <c r="C45" s="425" t="n">
        <v>4</v>
      </c>
      <c r="D45" s="180" t="inlineStr">
        <is>
          <t>unit</t>
        </is>
      </c>
      <c r="E45" s="183" t="n">
        <v>50000</v>
      </c>
      <c r="F45" s="184" t="n">
        <v>200000</v>
      </c>
      <c r="G45" s="400" t="inlineStr">
        <is>
          <t>Fase 1</t>
        </is>
      </c>
      <c r="H45" s="186" t="inlineStr">
        <is>
          <t>4 zona bagi agar tekanan merata</t>
        </is>
      </c>
      <c r="I45" s="171" t="n"/>
      <c r="J45" s="172" t="n"/>
    </row>
    <row r="46" ht="18" customHeight="1">
      <c r="A46" s="187" t="n">
        <v>4</v>
      </c>
      <c r="B46" s="188" t="inlineStr">
        <is>
          <t>Pipa lateral PVC 3/4" (ke blok bedeng)</t>
        </is>
      </c>
      <c r="C46" s="399" t="n">
        <v>25</v>
      </c>
      <c r="D46" s="187" t="inlineStr">
        <is>
          <t>btg 4m</t>
        </is>
      </c>
      <c r="E46" s="183" t="n">
        <v>25000</v>
      </c>
      <c r="F46" s="184" t="n">
        <v>625000</v>
      </c>
      <c r="G46" s="400" t="inlineStr">
        <is>
          <t>Fase 1</t>
        </is>
      </c>
      <c r="H46" s="190" t="n"/>
      <c r="I46" s="171" t="n"/>
      <c r="J46" s="172" t="n"/>
    </row>
    <row r="47" ht="18" customHeight="1">
      <c r="A47" s="180" t="n">
        <v>5</v>
      </c>
      <c r="B47" s="181" t="inlineStr">
        <is>
          <t>Selang PE 1/2" drip line per baris</t>
        </is>
      </c>
      <c r="C47" s="425" t="n">
        <v>300</v>
      </c>
      <c r="D47" s="180" t="inlineStr">
        <is>
          <t>meter</t>
        </is>
      </c>
      <c r="E47" s="183" t="n">
        <v>5000</v>
      </c>
      <c r="F47" s="184" t="n">
        <v>1500000</v>
      </c>
      <c r="G47" s="400" t="inlineStr">
        <is>
          <t>Fase 1</t>
        </is>
      </c>
      <c r="H47" s="186" t="inlineStr">
        <is>
          <t>Sesuaikan jarak tanam</t>
        </is>
      </c>
      <c r="I47" s="171" t="n"/>
      <c r="J47" s="172" t="n"/>
    </row>
    <row r="48" ht="18" customHeight="1">
      <c r="A48" s="187" t="n">
        <v>6</v>
      </c>
      <c r="B48" s="188" t="inlineStr">
        <is>
          <t>Emitter drip 2L/jam (1 per bibit)</t>
        </is>
      </c>
      <c r="C48" s="399" t="n">
        <v>40000</v>
      </c>
      <c r="D48" s="187" t="inlineStr">
        <is>
          <t>pcs</t>
        </is>
      </c>
      <c r="E48" s="183" t="n">
        <v>600</v>
      </c>
      <c r="F48" s="184" t="n">
        <v>24000000</v>
      </c>
      <c r="G48" s="400" t="inlineStr">
        <is>
          <t>Fase 1</t>
        </is>
      </c>
      <c r="H48" s="190" t="inlineStr">
        <is>
          <t>40,000 bibit = 40,000 emitter</t>
        </is>
      </c>
      <c r="I48" s="171" t="n"/>
      <c r="J48" s="172" t="n"/>
    </row>
    <row r="49" ht="18" customHeight="1">
      <c r="A49" s="180" t="n">
        <v>7</v>
      </c>
      <c r="B49" s="181" t="inlineStr">
        <is>
          <t>Ball valve 3/4" (kontrol zona)</t>
        </is>
      </c>
      <c r="C49" s="425" t="n">
        <v>8</v>
      </c>
      <c r="D49" s="180" t="inlineStr">
        <is>
          <t>pcs</t>
        </is>
      </c>
      <c r="E49" s="183" t="n">
        <v>25000</v>
      </c>
      <c r="F49" s="184" t="n">
        <v>200000</v>
      </c>
      <c r="G49" s="400" t="inlineStr">
        <is>
          <t>Fase 1</t>
        </is>
      </c>
      <c r="H49" s="186" t="n"/>
      <c r="I49" s="171" t="n"/>
      <c r="J49" s="172" t="n"/>
    </row>
    <row r="50" ht="18" customHeight="1">
      <c r="A50" s="187" t="n">
        <v>8</v>
      </c>
      <c r="B50" s="188" t="inlineStr">
        <is>
          <t>Filter sedimen sebelum emitter</t>
        </is>
      </c>
      <c r="C50" s="399" t="n">
        <v>2</v>
      </c>
      <c r="D50" s="187" t="inlineStr">
        <is>
          <t>unit</t>
        </is>
      </c>
      <c r="E50" s="183" t="n">
        <v>150000</v>
      </c>
      <c r="F50" s="184" t="n">
        <v>300000</v>
      </c>
      <c r="G50" s="400" t="inlineStr">
        <is>
          <t>Fase 1</t>
        </is>
      </c>
      <c r="H50" s="190" t="inlineStr">
        <is>
          <t>Wajib! Cegah buntu</t>
        </is>
      </c>
      <c r="I50" s="171" t="n"/>
      <c r="J50" s="172" t="n"/>
    </row>
    <row r="51" ht="18" customHeight="1">
      <c r="A51" s="180" t="n">
        <v>9</v>
      </c>
      <c r="B51" s="181" t="inlineStr">
        <is>
          <t>Fitting (elbow, T, keni, lem PVC)</t>
        </is>
      </c>
      <c r="C51" s="425" t="n">
        <v>1</v>
      </c>
      <c r="D51" s="180" t="inlineStr">
        <is>
          <t>paket</t>
        </is>
      </c>
      <c r="E51" s="183" t="n">
        <v>350000</v>
      </c>
      <c r="F51" s="184" t="n">
        <v>350000</v>
      </c>
      <c r="G51" s="400" t="inlineStr">
        <is>
          <t>Fase 1</t>
        </is>
      </c>
      <c r="H51" s="186" t="n"/>
      <c r="I51" s="171" t="n"/>
      <c r="J51" s="172" t="n"/>
    </row>
    <row r="52" ht="18" customHeight="1">
      <c r="A52" s="187" t="n">
        <v>10</v>
      </c>
      <c r="B52" s="188" t="inlineStr">
        <is>
          <t>Selang siram manual 1" × 30m (backup)</t>
        </is>
      </c>
      <c r="C52" s="399" t="n">
        <v>2</v>
      </c>
      <c r="D52" s="187" t="inlineStr">
        <is>
          <t>gulung</t>
        </is>
      </c>
      <c r="E52" s="183" t="n">
        <v>200000</v>
      </c>
      <c r="F52" s="184" t="n">
        <v>400000</v>
      </c>
      <c r="G52" s="400" t="inlineStr">
        <is>
          <t>Fase 1</t>
        </is>
      </c>
      <c r="H52" s="190" t="inlineStr">
        <is>
          <t>Backup + aplikasi pupuk cair</t>
        </is>
      </c>
      <c r="I52" s="171" t="n"/>
      <c r="J52" s="172" t="n"/>
    </row>
    <row r="53" ht="18" customHeight="1">
      <c r="A53" s="180" t="n">
        <v>11</v>
      </c>
      <c r="B53" s="181" t="inlineStr">
        <is>
          <t>Pompa celup 125W (jika tidak gravitasi)</t>
        </is>
      </c>
      <c r="C53" s="425" t="n">
        <v>1</v>
      </c>
      <c r="D53" s="180" t="inlineStr">
        <is>
          <t>unit</t>
        </is>
      </c>
      <c r="E53" s="183" t="n">
        <v>800000</v>
      </c>
      <c r="F53" s="184" t="n">
        <v>800000</v>
      </c>
      <c r="G53" s="400" t="inlineStr">
        <is>
          <t>Fase 1</t>
        </is>
      </c>
      <c r="H53" s="186" t="inlineStr">
        <is>
          <t>Cek elevasi lahan dulu</t>
        </is>
      </c>
      <c r="I53" s="171" t="n"/>
      <c r="J53" s="172" t="n"/>
    </row>
    <row r="54" ht="20" customHeight="1">
      <c r="A54" s="426" t="inlineStr">
        <is>
          <t xml:space="preserve">  ▶ SUBTOTAL: IRIGASI &amp; PIPA</t>
        </is>
      </c>
      <c r="B54" s="178" t="n"/>
      <c r="C54" s="178" t="n"/>
      <c r="D54" s="178" t="n"/>
      <c r="E54" s="178" t="n"/>
      <c r="F54" s="427" t="n">
        <v>30245000</v>
      </c>
      <c r="G54" s="428" t="n"/>
      <c r="H54" s="178" t="n"/>
      <c r="I54" s="178" t="n"/>
      <c r="J54" s="179" t="n"/>
    </row>
    <row r="55"/>
    <row r="56" ht="20" customHeight="1">
      <c r="A56" s="385" t="inlineStr">
        <is>
          <t xml:space="preserve">  D. PUPUK, NUTRISI &amp; PERLINDUNGAN TANAMAN</t>
        </is>
      </c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2" t="n"/>
    </row>
    <row r="57" ht="26" customHeight="1">
      <c r="A57" s="421" t="inlineStr">
        <is>
          <t>No</t>
        </is>
      </c>
      <c r="B57" s="422" t="inlineStr">
        <is>
          <t>Uraian Pekerjaan / Item</t>
        </is>
      </c>
      <c r="C57" s="423" t="inlineStr">
        <is>
          <t>Vol</t>
        </is>
      </c>
      <c r="D57" s="423" t="inlineStr">
        <is>
          <t>Sat</t>
        </is>
      </c>
      <c r="E57" s="423" t="inlineStr">
        <is>
          <t>Harga Sat (Rp)</t>
        </is>
      </c>
      <c r="F57" s="423" t="inlineStr">
        <is>
          <t>Total (Rp)</t>
        </is>
      </c>
      <c r="G57" s="423" t="inlineStr">
        <is>
          <t>Fase</t>
        </is>
      </c>
      <c r="H57" s="424" t="inlineStr">
        <is>
          <t>Keterangan</t>
        </is>
      </c>
      <c r="I57" s="178" t="n"/>
      <c r="J57" s="179" t="n"/>
    </row>
    <row r="58" ht="18" customHeight="1">
      <c r="A58" s="180" t="n">
        <v>1</v>
      </c>
      <c r="B58" s="181" t="inlineStr">
        <is>
          <t>Pupuk kandang matang 20 ton/ha</t>
        </is>
      </c>
      <c r="C58" s="425" t="n">
        <v>20000</v>
      </c>
      <c r="D58" s="180" t="inlineStr">
        <is>
          <t>kg</t>
        </is>
      </c>
      <c r="E58" s="183" t="n">
        <v>300</v>
      </c>
      <c r="F58" s="184" t="n">
        <v>6000000</v>
      </c>
      <c r="G58" s="393" t="inlineStr">
        <is>
          <t>Fase 0</t>
        </is>
      </c>
      <c r="H58" s="186" t="inlineStr">
        <is>
          <t>2 minggu sebelum tanam</t>
        </is>
      </c>
      <c r="I58" s="171" t="n"/>
      <c r="J58" s="172" t="n"/>
    </row>
    <row r="59" ht="18" customHeight="1">
      <c r="A59" s="187" t="n">
        <v>2</v>
      </c>
      <c r="B59" s="188" t="inlineStr">
        <is>
          <t>NPK 16-16-16 (dasar + susulan)</t>
        </is>
      </c>
      <c r="C59" s="399" t="n">
        <v>500</v>
      </c>
      <c r="D59" s="187" t="inlineStr">
        <is>
          <t>kg</t>
        </is>
      </c>
      <c r="E59" s="183" t="n">
        <v>8500</v>
      </c>
      <c r="F59" s="184" t="n">
        <v>4250000</v>
      </c>
      <c r="G59" s="400" t="inlineStr">
        <is>
          <t>Fase 1</t>
        </is>
      </c>
      <c r="H59" s="190" t="inlineStr">
        <is>
          <t>50% dasar, 50% bln 2&amp;4</t>
        </is>
      </c>
      <c r="I59" s="171" t="n"/>
      <c r="J59" s="172" t="n"/>
    </row>
    <row r="60" ht="18" customHeight="1">
      <c r="A60" s="180" t="n">
        <v>3</v>
      </c>
      <c r="B60" s="181" t="inlineStr">
        <is>
          <t>SP-36 fosfor akar</t>
        </is>
      </c>
      <c r="C60" s="425" t="n">
        <v>150</v>
      </c>
      <c r="D60" s="180" t="inlineStr">
        <is>
          <t>kg</t>
        </is>
      </c>
      <c r="E60" s="183" t="n">
        <v>5500</v>
      </c>
      <c r="F60" s="184" t="n">
        <v>825000</v>
      </c>
      <c r="G60" s="393" t="inlineStr">
        <is>
          <t>Fase 0</t>
        </is>
      </c>
      <c r="H60" s="186" t="inlineStr">
        <is>
          <t>Campur saat pengolahan tanah</t>
        </is>
      </c>
      <c r="I60" s="171" t="n"/>
      <c r="J60" s="172" t="n"/>
    </row>
    <row r="61" ht="18" customHeight="1">
      <c r="A61" s="187" t="n">
        <v>4</v>
      </c>
      <c r="B61" s="188" t="inlineStr">
        <is>
          <t>Pupuk organik cair MOL (8 bln)</t>
        </is>
      </c>
      <c r="C61" s="399" t="n">
        <v>8</v>
      </c>
      <c r="D61" s="187" t="inlineStr">
        <is>
          <t>bln</t>
        </is>
      </c>
      <c r="E61" s="183" t="n">
        <v>300000</v>
      </c>
      <c r="F61" s="184" t="n">
        <v>2400000</v>
      </c>
      <c r="G61" s="406" t="inlineStr">
        <is>
          <t>Rutin</t>
        </is>
      </c>
      <c r="H61" s="190" t="inlineStr">
        <is>
          <t>Semprot 2× sebulan</t>
        </is>
      </c>
      <c r="I61" s="171" t="n"/>
      <c r="J61" s="172" t="n"/>
    </row>
    <row r="62" ht="18" customHeight="1">
      <c r="A62" s="180" t="n">
        <v>5</v>
      </c>
      <c r="B62" s="181" t="inlineStr">
        <is>
          <t>Trichoderma sp. (biofungisida)</t>
        </is>
      </c>
      <c r="C62" s="425" t="n">
        <v>5</v>
      </c>
      <c r="D62" s="180" t="inlineStr">
        <is>
          <t>kg</t>
        </is>
      </c>
      <c r="E62" s="183" t="n">
        <v>80000</v>
      </c>
      <c r="F62" s="184" t="n">
        <v>400000</v>
      </c>
      <c r="G62" s="400" t="inlineStr">
        <is>
          <t>Fase 1</t>
        </is>
      </c>
      <c r="H62" s="186" t="inlineStr">
        <is>
          <t>Campur pupuk kandang saat tanam</t>
        </is>
      </c>
      <c r="I62" s="171" t="n"/>
      <c r="J62" s="172" t="n"/>
    </row>
    <row r="63" ht="18" customHeight="1">
      <c r="A63" s="187" t="n">
        <v>6</v>
      </c>
      <c r="B63" s="188" t="inlineStr">
        <is>
          <t>Urea tambahan (N, fase vegetatif bln 1–3)</t>
        </is>
      </c>
      <c r="C63" s="399" t="n">
        <v>200</v>
      </c>
      <c r="D63" s="187" t="inlineStr">
        <is>
          <t>kg</t>
        </is>
      </c>
      <c r="E63" s="183" t="n">
        <v>5000</v>
      </c>
      <c r="F63" s="184" t="n">
        <v>1000000</v>
      </c>
      <c r="G63" s="406" t="inlineStr">
        <is>
          <t>Rutin</t>
        </is>
      </c>
      <c r="H63" s="190" t="inlineStr">
        <is>
          <t>Dorong pertumbuhan daun &amp; batang</t>
        </is>
      </c>
      <c r="I63" s="171" t="n"/>
      <c r="J63" s="172" t="n"/>
    </row>
    <row r="64" ht="18" customHeight="1">
      <c r="A64" s="180" t="n">
        <v>7</v>
      </c>
      <c r="B64" s="181" t="inlineStr">
        <is>
          <t>ZA (nitrogen+sulfur, bln 3–5)</t>
        </is>
      </c>
      <c r="C64" s="425" t="n">
        <v>100</v>
      </c>
      <c r="D64" s="180" t="inlineStr">
        <is>
          <t>kg</t>
        </is>
      </c>
      <c r="E64" s="183" t="n">
        <v>4500</v>
      </c>
      <c r="F64" s="184" t="n">
        <v>450000</v>
      </c>
      <c r="G64" s="406" t="inlineStr">
        <is>
          <t>Rutin</t>
        </is>
      </c>
      <c r="H64" s="186" t="inlineStr">
        <is>
          <t>Sulfur tingkatkan aroma rimpang</t>
        </is>
      </c>
      <c r="I64" s="171" t="n"/>
      <c r="J64" s="172" t="n"/>
    </row>
    <row r="65" ht="20" customHeight="1">
      <c r="A65" s="426" t="inlineStr">
        <is>
          <t xml:space="preserve">  ▶ SUBTOTAL: PUPUK &amp; NUTRISI</t>
        </is>
      </c>
      <c r="B65" s="178" t="n"/>
      <c r="C65" s="178" t="n"/>
      <c r="D65" s="178" t="n"/>
      <c r="E65" s="178" t="n"/>
      <c r="F65" s="427" t="n">
        <v>15325000</v>
      </c>
      <c r="G65" s="428" t="n"/>
      <c r="H65" s="178" t="n"/>
      <c r="I65" s="178" t="n"/>
      <c r="J65" s="179" t="n"/>
    </row>
    <row r="66"/>
    <row r="67" ht="20" customHeight="1">
      <c r="A67" s="385" t="inlineStr">
        <is>
          <t xml:space="preserve">  E. ALAT PERTANIAN &amp; PERLENGKAPAN</t>
        </is>
      </c>
      <c r="B67" s="171" t="n"/>
      <c r="C67" s="171" t="n"/>
      <c r="D67" s="171" t="n"/>
      <c r="E67" s="171" t="n"/>
      <c r="F67" s="171" t="n"/>
      <c r="G67" s="171" t="n"/>
      <c r="H67" s="171" t="n"/>
      <c r="I67" s="171" t="n"/>
      <c r="J67" s="172" t="n"/>
    </row>
    <row r="68" ht="26" customHeight="1">
      <c r="A68" s="421" t="inlineStr">
        <is>
          <t>No</t>
        </is>
      </c>
      <c r="B68" s="422" t="inlineStr">
        <is>
          <t>Uraian Pekerjaan / Item</t>
        </is>
      </c>
      <c r="C68" s="423" t="inlineStr">
        <is>
          <t>Vol</t>
        </is>
      </c>
      <c r="D68" s="423" t="inlineStr">
        <is>
          <t>Sat</t>
        </is>
      </c>
      <c r="E68" s="423" t="inlineStr">
        <is>
          <t>Harga Sat (Rp)</t>
        </is>
      </c>
      <c r="F68" s="423" t="inlineStr">
        <is>
          <t>Total (Rp)</t>
        </is>
      </c>
      <c r="G68" s="423" t="inlineStr">
        <is>
          <t>Fase</t>
        </is>
      </c>
      <c r="H68" s="424" t="inlineStr">
        <is>
          <t>Keterangan</t>
        </is>
      </c>
      <c r="I68" s="178" t="n"/>
      <c r="J68" s="179" t="n"/>
    </row>
    <row r="69" ht="18" customHeight="1">
      <c r="A69" s="180" t="n">
        <v>1</v>
      </c>
      <c r="B69" s="181" t="inlineStr">
        <is>
          <t>Cangkul, sekop, garpu tanah (4 set)</t>
        </is>
      </c>
      <c r="C69" s="425" t="n">
        <v>4</v>
      </c>
      <c r="D69" s="180" t="inlineStr">
        <is>
          <t>set</t>
        </is>
      </c>
      <c r="E69" s="183" t="n">
        <v>120000</v>
      </c>
      <c r="F69" s="184" t="n">
        <v>480000</v>
      </c>
      <c r="G69" s="393" t="inlineStr">
        <is>
          <t>Fase 0</t>
        </is>
      </c>
      <c r="H69" s="186" t="n"/>
      <c r="I69" s="171" t="n"/>
      <c r="J69" s="172" t="n"/>
    </row>
    <row r="70" ht="18" customHeight="1">
      <c r="A70" s="187" t="n">
        <v>2</v>
      </c>
      <c r="B70" s="188" t="inlineStr">
        <is>
          <t>Knapsack sprayer 16L (2 unit)</t>
        </is>
      </c>
      <c r="C70" s="399" t="n">
        <v>2</v>
      </c>
      <c r="D70" s="187" t="inlineStr">
        <is>
          <t>unit</t>
        </is>
      </c>
      <c r="E70" s="183" t="n">
        <v>350000</v>
      </c>
      <c r="F70" s="184" t="n">
        <v>700000</v>
      </c>
      <c r="G70" s="400" t="inlineStr">
        <is>
          <t>Fase 1</t>
        </is>
      </c>
      <c r="H70" s="190" t="inlineStr">
        <is>
          <t>1 pupuk, 1 pestisida</t>
        </is>
      </c>
      <c r="I70" s="171" t="n"/>
      <c r="J70" s="172" t="n"/>
    </row>
    <row r="71" ht="18" customHeight="1">
      <c r="A71" s="180" t="n">
        <v>3</v>
      </c>
      <c r="B71" s="181" t="inlineStr">
        <is>
          <t>Timbangan digital 50kg</t>
        </is>
      </c>
      <c r="C71" s="425" t="n">
        <v>1</v>
      </c>
      <c r="D71" s="180" t="inlineStr">
        <is>
          <t>unit</t>
        </is>
      </c>
      <c r="E71" s="183" t="n">
        <v>450000</v>
      </c>
      <c r="F71" s="184" t="n">
        <v>450000</v>
      </c>
      <c r="G71" s="400" t="inlineStr">
        <is>
          <t>Fase 1</t>
        </is>
      </c>
      <c r="H71" s="186" t="inlineStr">
        <is>
          <t>Timbang hasil panen</t>
        </is>
      </c>
      <c r="I71" s="171" t="n"/>
      <c r="J71" s="172" t="n"/>
    </row>
    <row r="72" ht="18" customHeight="1">
      <c r="A72" s="187" t="n">
        <v>4</v>
      </c>
      <c r="B72" s="188" t="inlineStr">
        <is>
          <t>Karung panen 25kg &amp; 50kg</t>
        </is>
      </c>
      <c r="C72" s="399" t="n">
        <v>200</v>
      </c>
      <c r="D72" s="187" t="inlineStr">
        <is>
          <t>pcs</t>
        </is>
      </c>
      <c r="E72" s="183" t="n">
        <v>2500</v>
      </c>
      <c r="F72" s="184" t="n">
        <v>500000</v>
      </c>
      <c r="G72" s="400" t="inlineStr">
        <is>
          <t>Fase 1</t>
        </is>
      </c>
      <c r="H72" s="190" t="inlineStr">
        <is>
          <t>Restock tiap panen</t>
        </is>
      </c>
      <c r="I72" s="171" t="n"/>
      <c r="J72" s="172" t="n"/>
    </row>
    <row r="73" ht="18" customHeight="1">
      <c r="A73" s="180" t="n">
        <v>5</v>
      </c>
      <c r="B73" s="181" t="inlineStr">
        <is>
          <t>Keranjang plastik berlubang</t>
        </is>
      </c>
      <c r="C73" s="425" t="n">
        <v>20</v>
      </c>
      <c r="D73" s="180" t="inlineStr">
        <is>
          <t>pcs</t>
        </is>
      </c>
      <c r="E73" s="183" t="n">
        <v>25000</v>
      </c>
      <c r="F73" s="184" t="n">
        <v>500000</v>
      </c>
      <c r="G73" s="400" t="inlineStr">
        <is>
          <t>Fase 1</t>
        </is>
      </c>
      <c r="H73" s="186" t="inlineStr">
        <is>
          <t>Sortasi lapang</t>
        </is>
      </c>
      <c r="I73" s="171" t="n"/>
      <c r="J73" s="172" t="n"/>
    </row>
    <row r="74" ht="18" customHeight="1">
      <c r="A74" s="187" t="n">
        <v>6</v>
      </c>
      <c r="B74" s="188" t="inlineStr">
        <is>
          <t>APD: sepatu boot, sarung tangan, masker</t>
        </is>
      </c>
      <c r="C74" s="399" t="n">
        <v>4</v>
      </c>
      <c r="D74" s="187" t="inlineStr">
        <is>
          <t>set</t>
        </is>
      </c>
      <c r="E74" s="183" t="n">
        <v>100000</v>
      </c>
      <c r="F74" s="184" t="n">
        <v>400000</v>
      </c>
      <c r="G74" s="400" t="inlineStr">
        <is>
          <t>Fase 1</t>
        </is>
      </c>
      <c r="H74" s="190" t="inlineStr">
        <is>
          <t>Keselamatan kerja</t>
        </is>
      </c>
      <c r="I74" s="171" t="n"/>
      <c r="J74" s="172" t="n"/>
    </row>
    <row r="75" ht="18" customHeight="1">
      <c r="A75" s="180" t="n">
        <v>7</v>
      </c>
      <c r="B75" s="181" t="inlineStr">
        <is>
          <t>Garpu panen rimpang besar</t>
        </is>
      </c>
      <c r="C75" s="425" t="n">
        <v>6</v>
      </c>
      <c r="D75" s="180" t="inlineStr">
        <is>
          <t>unit</t>
        </is>
      </c>
      <c r="E75" s="183" t="n">
        <v>75000</v>
      </c>
      <c r="F75" s="184" t="n">
        <v>450000</v>
      </c>
      <c r="G75" s="400" t="inlineStr">
        <is>
          <t>Fase 1</t>
        </is>
      </c>
      <c r="H75" s="186" t="inlineStr">
        <is>
          <t>Jahe gajah rimpang dalam &amp; besar</t>
        </is>
      </c>
      <c r="I75" s="171" t="n"/>
      <c r="J75" s="172" t="n"/>
    </row>
    <row r="76" ht="20" customHeight="1">
      <c r="A76" s="426" t="inlineStr">
        <is>
          <t xml:space="preserve">  ▶ SUBTOTAL: ALAT &amp; PERLENGKAPAN</t>
        </is>
      </c>
      <c r="B76" s="178" t="n"/>
      <c r="C76" s="178" t="n"/>
      <c r="D76" s="178" t="n"/>
      <c r="E76" s="178" t="n"/>
      <c r="F76" s="427" t="n">
        <v>3480000</v>
      </c>
      <c r="G76" s="428" t="n"/>
      <c r="H76" s="178" t="n"/>
      <c r="I76" s="178" t="n"/>
      <c r="J76" s="179" t="n"/>
    </row>
    <row r="77"/>
    <row r="78" ht="20" customHeight="1">
      <c r="A78" s="385" t="inlineStr">
        <is>
          <t xml:space="preserve">  F. TENAGA KERJA LOKAL — SISTEM GAJI ADVANCE (dipotong dari porsi 40% saat panen)</t>
        </is>
      </c>
      <c r="B78" s="171" t="n"/>
      <c r="C78" s="171" t="n"/>
      <c r="D78" s="171" t="n"/>
      <c r="E78" s="171" t="n"/>
      <c r="F78" s="171" t="n"/>
      <c r="G78" s="171" t="n"/>
      <c r="H78" s="171" t="n"/>
      <c r="I78" s="171" t="n"/>
      <c r="J78" s="172" t="n"/>
    </row>
    <row r="79" ht="30" customHeight="1">
      <c r="A79" s="408" t="inlineStr">
        <is>
          <t xml:space="preserve">  ⚠️  SEMUA gaji di bawah ini = ADVANCE PAYMENT. Dibayar selama masa tanam dari modal yayasan. Total advance Rp 46,750,000 akan dipotong dari porsi 40% (= Rp 223,200,000) saat panen. Bonus panen per kelompok tenaga = Rp 176,450,000</t>
        </is>
      </c>
      <c r="B79" s="171" t="n"/>
      <c r="C79" s="171" t="n"/>
      <c r="D79" s="171" t="n"/>
      <c r="E79" s="171" t="n"/>
      <c r="F79" s="171" t="n"/>
      <c r="G79" s="171" t="n"/>
      <c r="H79" s="171" t="n"/>
      <c r="I79" s="171" t="n"/>
      <c r="J79" s="172" t="n"/>
    </row>
    <row r="80" ht="26" customHeight="1">
      <c r="A80" s="421" t="inlineStr">
        <is>
          <t>No</t>
        </is>
      </c>
      <c r="B80" s="422" t="inlineStr">
        <is>
          <t>Uraian Pekerjaan / Item</t>
        </is>
      </c>
      <c r="C80" s="423" t="inlineStr">
        <is>
          <t>Vol</t>
        </is>
      </c>
      <c r="D80" s="423" t="inlineStr">
        <is>
          <t>Sat</t>
        </is>
      </c>
      <c r="E80" s="423" t="inlineStr">
        <is>
          <t>Harga Sat (Rp)</t>
        </is>
      </c>
      <c r="F80" s="423" t="inlineStr">
        <is>
          <t>Total (Rp)</t>
        </is>
      </c>
      <c r="G80" s="423" t="inlineStr">
        <is>
          <t>Fase</t>
        </is>
      </c>
      <c r="H80" s="424" t="inlineStr">
        <is>
          <t>Keterangan</t>
        </is>
      </c>
      <c r="I80" s="178" t="n"/>
      <c r="J80" s="179" t="n"/>
    </row>
    <row r="81" ht="18" customHeight="1">
      <c r="A81" s="180" t="n">
        <v>1</v>
      </c>
      <c r="B81" s="196" t="inlineStr">
        <is>
          <t>Penanaman bibit (5 org × 5 hari)</t>
        </is>
      </c>
      <c r="C81" s="425" t="n">
        <v>25</v>
      </c>
      <c r="D81" s="180" t="inlineStr">
        <is>
          <t>HOK</t>
        </is>
      </c>
      <c r="E81" s="183" t="n">
        <v>150000</v>
      </c>
      <c r="F81" s="401" t="n">
        <v>3750000</v>
      </c>
      <c r="G81" s="400" t="inlineStr">
        <is>
          <t>Fase 1</t>
        </is>
      </c>
      <c r="H81" s="186" t="inlineStr">
        <is>
          <t>ADVANCE</t>
        </is>
      </c>
      <c r="I81" s="171" t="n"/>
      <c r="J81" s="172" t="n"/>
    </row>
    <row r="82" ht="18" customHeight="1">
      <c r="A82" s="187" t="n">
        <v>2</v>
      </c>
      <c r="B82" s="409" t="inlineStr">
        <is>
          <t>Perawatan harian — 2 org × 8 bln</t>
        </is>
      </c>
      <c r="C82" s="399" t="n">
        <v>2</v>
      </c>
      <c r="D82" s="187" t="inlineStr">
        <is>
          <t>org/bln</t>
        </is>
      </c>
      <c r="E82" s="183" t="n">
        <v>2000000</v>
      </c>
      <c r="F82" s="401" t="n">
        <v>32000000</v>
      </c>
      <c r="G82" s="406" t="inlineStr">
        <is>
          <t>Rutin</t>
        </is>
      </c>
      <c r="H82" s="190" t="inlineStr">
        <is>
          <t>ADVANCE</t>
        </is>
      </c>
      <c r="I82" s="171" t="n"/>
      <c r="J82" s="172" t="n"/>
    </row>
    <row r="83" ht="18" customHeight="1">
      <c r="A83" s="180" t="n">
        <v>3</v>
      </c>
      <c r="B83" s="181" t="inlineStr">
        <is>
          <t>Koordinator lahan (10 bln)</t>
        </is>
      </c>
      <c r="C83" s="425" t="n">
        <v>10</v>
      </c>
      <c r="D83" s="180" t="inlineStr">
        <is>
          <t>bln</t>
        </is>
      </c>
      <c r="E83" s="183" t="n">
        <v>500000</v>
      </c>
      <c r="F83" s="401" t="n">
        <v>5000000</v>
      </c>
      <c r="G83" s="406" t="inlineStr">
        <is>
          <t>Rutin</t>
        </is>
      </c>
      <c r="H83" s="186" t="inlineStr">
        <is>
          <t>ADVANCE. Monitoring &amp; laporan</t>
        </is>
      </c>
      <c r="I83" s="171" t="n"/>
      <c r="J83" s="172" t="n"/>
    </row>
    <row r="84" ht="18" customHeight="1">
      <c r="A84" s="187" t="n">
        <v>4</v>
      </c>
      <c r="B84" s="409" t="inlineStr">
        <is>
          <t>Tenaga panen (10 org × 4 hari)</t>
        </is>
      </c>
      <c r="C84" s="399" t="n">
        <v>40</v>
      </c>
      <c r="D84" s="187" t="inlineStr">
        <is>
          <t>HOK</t>
        </is>
      </c>
      <c r="E84" s="183" t="n">
        <v>150000</v>
      </c>
      <c r="F84" s="401" t="n">
        <v>6000000</v>
      </c>
      <c r="G84" s="400" t="inlineStr">
        <is>
          <t>Fase 1</t>
        </is>
      </c>
      <c r="H84" s="190" t="inlineStr">
        <is>
          <t>ADVANCE. Lebih banyak karena 20 ton</t>
        </is>
      </c>
      <c r="I84" s="171" t="n"/>
      <c r="J84" s="172" t="n"/>
    </row>
    <row r="85" ht="20" customHeight="1">
      <c r="A85" s="410" t="inlineStr">
        <is>
          <t xml:space="preserve">  ▶ TOTAL ADVANCE GAJI (dibayar selama masa tanam)</t>
        </is>
      </c>
      <c r="B85" s="178" t="n"/>
      <c r="C85" s="178" t="n"/>
      <c r="D85" s="178" t="n"/>
      <c r="E85" s="178" t="n"/>
      <c r="F85" s="411" t="n">
        <v>46750000</v>
      </c>
      <c r="G85" s="412" t="inlineStr">
        <is>
          <t>Dipotong dari Porsi 40% = Rp 223,200,000. Sisa bonus tunai = Rp 176,450,000</t>
        </is>
      </c>
      <c r="H85" s="178" t="n"/>
      <c r="I85" s="178" t="n"/>
      <c r="J85" s="179" t="n"/>
    </row>
    <row r="86"/>
    <row r="87" ht="20" customHeight="1">
      <c r="A87" s="385" t="inlineStr">
        <is>
          <t xml:space="preserve">  G. PASCA PANEN, PENGOLAHAN &amp; PERSIAPAN EKSPOR</t>
        </is>
      </c>
      <c r="B87" s="171" t="n"/>
      <c r="C87" s="171" t="n"/>
      <c r="D87" s="171" t="n"/>
      <c r="E87" s="171" t="n"/>
      <c r="F87" s="171" t="n"/>
      <c r="G87" s="171" t="n"/>
      <c r="H87" s="171" t="n"/>
      <c r="I87" s="171" t="n"/>
      <c r="J87" s="172" t="n"/>
    </row>
    <row r="88" ht="26" customHeight="1">
      <c r="A88" s="421" t="inlineStr">
        <is>
          <t>No</t>
        </is>
      </c>
      <c r="B88" s="422" t="inlineStr">
        <is>
          <t>Uraian Pekerjaan / Item</t>
        </is>
      </c>
      <c r="C88" s="423" t="inlineStr">
        <is>
          <t>Vol</t>
        </is>
      </c>
      <c r="D88" s="423" t="inlineStr">
        <is>
          <t>Sat</t>
        </is>
      </c>
      <c r="E88" s="423" t="inlineStr">
        <is>
          <t>Harga Sat (Rp)</t>
        </is>
      </c>
      <c r="F88" s="423" t="inlineStr">
        <is>
          <t>Total (Rp)</t>
        </is>
      </c>
      <c r="G88" s="423" t="inlineStr">
        <is>
          <t>Fase</t>
        </is>
      </c>
      <c r="H88" s="424" t="inlineStr">
        <is>
          <t>Keterangan</t>
        </is>
      </c>
      <c r="I88" s="178" t="n"/>
      <c r="J88" s="179" t="n"/>
    </row>
    <row r="89" ht="18" customHeight="1">
      <c r="A89" s="180" t="n">
        <v>1</v>
      </c>
      <c r="B89" s="181" t="inlineStr">
        <is>
          <t>Pengeringan jahe gajah</t>
        </is>
      </c>
      <c r="C89" s="425" t="n">
        <v>1</v>
      </c>
      <c r="D89" s="180" t="inlineStr">
        <is>
          <t>paket</t>
        </is>
      </c>
      <c r="E89" s="183" t="n">
        <v>5000000</v>
      </c>
      <c r="F89" s="184" t="n">
        <v>5000000</v>
      </c>
      <c r="G89" s="400" t="inlineStr">
        <is>
          <t>Fase 1</t>
        </is>
      </c>
      <c r="H89" s="186" t="inlineStr">
        <is>
          <t>20 ton segar → ~6 ton kering</t>
        </is>
      </c>
      <c r="I89" s="171" t="n"/>
      <c r="J89" s="172" t="n"/>
    </row>
    <row r="90" ht="18" customHeight="1">
      <c r="A90" s="187" t="n">
        <v>2</v>
      </c>
      <c r="B90" s="188" t="inlineStr">
        <is>
          <t>Phytosanitary certificate</t>
        </is>
      </c>
      <c r="C90" s="399" t="n">
        <v>1</v>
      </c>
      <c r="D90" s="187" t="inlineStr">
        <is>
          <t>sertifikat</t>
        </is>
      </c>
      <c r="E90" s="183" t="n">
        <v>1500000</v>
      </c>
      <c r="F90" s="184" t="n">
        <v>1500000</v>
      </c>
      <c r="G90" s="400" t="inlineStr">
        <is>
          <t>Fase 1</t>
        </is>
      </c>
      <c r="H90" s="190" t="inlineStr">
        <is>
          <t>BBKP setempat</t>
        </is>
      </c>
      <c r="I90" s="171" t="n"/>
      <c r="J90" s="172" t="n"/>
    </row>
    <row r="91" ht="18" customHeight="1">
      <c r="A91" s="180" t="n">
        <v>3</v>
      </c>
      <c r="B91" s="181" t="inlineStr">
        <is>
          <t>Packaging karung PP 25kg</t>
        </is>
      </c>
      <c r="C91" s="425" t="n">
        <v>240</v>
      </c>
      <c r="D91" s="180" t="inlineStr">
        <is>
          <t>karung</t>
        </is>
      </c>
      <c r="E91" s="183" t="n">
        <v>5000</v>
      </c>
      <c r="F91" s="184" t="n">
        <v>1200000</v>
      </c>
      <c r="G91" s="400" t="inlineStr">
        <is>
          <t>Fase 1</t>
        </is>
      </c>
      <c r="H91" s="186" t="inlineStr">
        <is>
          <t>6 ton = 240 karung</t>
        </is>
      </c>
      <c r="I91" s="171" t="n"/>
      <c r="J91" s="172" t="n"/>
    </row>
    <row r="92" ht="18" customHeight="1">
      <c r="A92" s="187" t="n">
        <v>4</v>
      </c>
      <c r="B92" s="188" t="inlineStr">
        <is>
          <t>Freight &amp; forwarder ke pelabuhan</t>
        </is>
      </c>
      <c r="C92" s="399" t="n">
        <v>1</v>
      </c>
      <c r="D92" s="187" t="inlineStr">
        <is>
          <t>paket</t>
        </is>
      </c>
      <c r="E92" s="183" t="n">
        <v>6000000</v>
      </c>
      <c r="F92" s="184" t="n">
        <v>6000000</v>
      </c>
      <c r="G92" s="400" t="inlineStr">
        <is>
          <t>Fase 1</t>
        </is>
      </c>
      <c r="H92" s="190" t="inlineStr">
        <is>
          <t>Volume lebih sedikit dari jahe merah</t>
        </is>
      </c>
      <c r="I92" s="171" t="n"/>
      <c r="J92" s="172" t="n"/>
    </row>
    <row r="93" ht="20" customHeight="1">
      <c r="A93" s="426" t="inlineStr">
        <is>
          <t xml:space="preserve">  ▶ SUBTOTAL: PASCA PANEN &amp; EKSPOR</t>
        </is>
      </c>
      <c r="B93" s="178" t="n"/>
      <c r="C93" s="178" t="n"/>
      <c r="D93" s="178" t="n"/>
      <c r="E93" s="178" t="n"/>
      <c r="F93" s="427" t="n">
        <v>13700000</v>
      </c>
      <c r="G93" s="428" t="n"/>
      <c r="H93" s="178" t="n"/>
      <c r="I93" s="178" t="n"/>
      <c r="J93" s="179" t="n"/>
    </row>
    <row r="94"/>
    <row r="95" ht="34" customHeight="1">
      <c r="A95" s="429" t="inlineStr">
        <is>
          <t xml:space="preserve">  🏆 GRAND TOTAL INVESTASI — JAHE BIASA (GAJAH) 1 HA</t>
        </is>
      </c>
      <c r="B95" s="200" t="n"/>
      <c r="C95" s="200" t="n"/>
      <c r="D95" s="200" t="n"/>
      <c r="E95" s="200" t="n"/>
      <c r="F95" s="430" t="n">
        <v>201250000</v>
      </c>
      <c r="G95" s="431" t="inlineStr">
        <is>
          <t>ROI Donatur: 27.7% | Bonus Tenaga: Rp 176,450,000 | Anak Binaan: Rp 16,740,000</t>
        </is>
      </c>
      <c r="H95" s="200" t="n"/>
      <c r="I95" s="200" t="n"/>
      <c r="J95" s="203" t="n"/>
    </row>
    <row r="96"/>
    <row r="97">
      <c r="A97" s="416" t="inlineStr">
        <is>
          <t xml:space="preserve">  🌏 EKSPOR &amp; STANDAR KUALITAS</t>
        </is>
      </c>
      <c r="B97" s="171" t="n"/>
      <c r="C97" s="171" t="n"/>
      <c r="D97" s="171" t="n"/>
      <c r="E97" s="171" t="n"/>
      <c r="F97" s="171" t="n"/>
      <c r="G97" s="171" t="n"/>
      <c r="H97" s="171" t="n"/>
      <c r="I97" s="171" t="n"/>
      <c r="J97" s="172" t="n"/>
    </row>
    <row r="98" ht="52" customHeight="1">
      <c r="A98" s="417" t="inlineStr">
        <is>
          <t>JAHE BIASA | Kadar air &lt;12%, oleoresin &gt;1.5% | Harga FOB USD 500–700/ton kering = Rp 30.000–45.000/kg
Target: China 70% (volume), India (bumbu &amp; farmasi), Bangladesh/Pakistan | Volume yield tertinggi (20 ton/ha)</t>
        </is>
      </c>
      <c r="B98" s="171" t="n"/>
      <c r="C98" s="171" t="n"/>
      <c r="D98" s="171" t="n"/>
      <c r="E98" s="171" t="n"/>
      <c r="F98" s="171" t="n"/>
      <c r="G98" s="171" t="n"/>
      <c r="H98" s="171" t="n"/>
      <c r="I98" s="171" t="n"/>
      <c r="J98" s="172" t="n"/>
    </row>
  </sheetData>
  <mergeCells count="106">
    <mergeCell ref="A17:G17"/>
    <mergeCell ref="H17:J17"/>
    <mergeCell ref="H69:J69"/>
    <mergeCell ref="H11:J11"/>
    <mergeCell ref="A65:E65"/>
    <mergeCell ref="A9:G9"/>
    <mergeCell ref="H84:J84"/>
    <mergeCell ref="H22:J22"/>
    <mergeCell ref="H75:J75"/>
    <mergeCell ref="A11:G11"/>
    <mergeCell ref="H5:J5"/>
    <mergeCell ref="H92:J92"/>
    <mergeCell ref="H29:J29"/>
    <mergeCell ref="H44:J44"/>
    <mergeCell ref="H58:J58"/>
    <mergeCell ref="A93:E93"/>
    <mergeCell ref="H64:J64"/>
    <mergeCell ref="H21:J21"/>
    <mergeCell ref="H73:J73"/>
    <mergeCell ref="H51:J51"/>
    <mergeCell ref="A32:J32"/>
    <mergeCell ref="H60:J60"/>
    <mergeCell ref="A8:G8"/>
    <mergeCell ref="A97:J97"/>
    <mergeCell ref="A4:J4"/>
    <mergeCell ref="G85:J85"/>
    <mergeCell ref="H7:J7"/>
    <mergeCell ref="H16:J16"/>
    <mergeCell ref="A40:J40"/>
    <mergeCell ref="H57:J57"/>
    <mergeCell ref="A67:J67"/>
    <mergeCell ref="H27:J27"/>
    <mergeCell ref="H33:J33"/>
    <mergeCell ref="H42:J42"/>
    <mergeCell ref="A95:E95"/>
    <mergeCell ref="G38:J38"/>
    <mergeCell ref="H35:J35"/>
    <mergeCell ref="A38:E38"/>
    <mergeCell ref="A12:G12"/>
    <mergeCell ref="A2:J2"/>
    <mergeCell ref="H59:J59"/>
    <mergeCell ref="A5:G5"/>
    <mergeCell ref="G65:J65"/>
    <mergeCell ref="A14:G14"/>
    <mergeCell ref="H46:J46"/>
    <mergeCell ref="H89:J89"/>
    <mergeCell ref="H25:J25"/>
    <mergeCell ref="H52:J52"/>
    <mergeCell ref="H61:J61"/>
    <mergeCell ref="H88:J88"/>
    <mergeCell ref="A20:J20"/>
    <mergeCell ref="H70:J70"/>
    <mergeCell ref="G76:J76"/>
    <mergeCell ref="H45:J45"/>
    <mergeCell ref="H81:J81"/>
    <mergeCell ref="H90:J90"/>
    <mergeCell ref="H13:J13"/>
    <mergeCell ref="H47:J47"/>
    <mergeCell ref="A98:J98"/>
    <mergeCell ref="H15:J15"/>
    <mergeCell ref="H71:J71"/>
    <mergeCell ref="H24:J24"/>
    <mergeCell ref="A79:J79"/>
    <mergeCell ref="H18:J18"/>
    <mergeCell ref="H8:J8"/>
    <mergeCell ref="A16:G16"/>
    <mergeCell ref="H26:J26"/>
    <mergeCell ref="H82:J82"/>
    <mergeCell ref="H53:J53"/>
    <mergeCell ref="A41:J41"/>
    <mergeCell ref="H63:J63"/>
    <mergeCell ref="A18:G18"/>
    <mergeCell ref="H50:J50"/>
    <mergeCell ref="A56:J56"/>
    <mergeCell ref="H34:J34"/>
    <mergeCell ref="H9:J9"/>
    <mergeCell ref="G95:J95"/>
    <mergeCell ref="A30:E30"/>
    <mergeCell ref="H49:J49"/>
    <mergeCell ref="H36:J36"/>
    <mergeCell ref="G54:J54"/>
    <mergeCell ref="A13:G13"/>
    <mergeCell ref="H72:J72"/>
    <mergeCell ref="A54:E54"/>
    <mergeCell ref="H28:J28"/>
    <mergeCell ref="H80:J80"/>
    <mergeCell ref="H37:J37"/>
    <mergeCell ref="H12:J12"/>
    <mergeCell ref="A15:G15"/>
    <mergeCell ref="H48:J48"/>
    <mergeCell ref="A1:J1"/>
    <mergeCell ref="H62:J62"/>
    <mergeCell ref="H14:J14"/>
    <mergeCell ref="H23:J23"/>
    <mergeCell ref="A76:E76"/>
    <mergeCell ref="A78:J78"/>
    <mergeCell ref="A85:E85"/>
    <mergeCell ref="A87:J87"/>
    <mergeCell ref="A7:G7"/>
    <mergeCell ref="H91:J91"/>
    <mergeCell ref="H43:J43"/>
    <mergeCell ref="G93:J93"/>
    <mergeCell ref="G30:J30"/>
    <mergeCell ref="H74:J74"/>
    <mergeCell ref="H68:J68"/>
    <mergeCell ref="H83:J8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432" t="inlineStr">
        <is>
          <t>🌼 PAKET INVESTASI — KUNYIT 1 HA  |  8–10 Bulan</t>
        </is>
      </c>
    </row>
    <row r="2" ht="18" customHeight="1">
      <c r="A2" s="169" t="inlineStr">
        <is>
          <t>Hasil estimasi: 15,000 kg/ha  ·  Lokal Rp 5,000/kg  ·  Ekspor Rp 35,000/kg  ·  Target: India, EU, USA, Jepang</t>
        </is>
      </c>
    </row>
    <row r="3"/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33" t="inlineStr">
        <is>
          <t xml:space="preserve">  MODAL INVESTASI TOTAL</t>
        </is>
      </c>
      <c r="B5" s="171" t="n"/>
      <c r="C5" s="171" t="n"/>
      <c r="D5" s="171" t="n"/>
      <c r="E5" s="171" t="n"/>
      <c r="F5" s="171" t="n"/>
      <c r="G5" s="171" t="n"/>
      <c r="H5" s="434" t="n">
        <v>228965000</v>
      </c>
      <c r="I5" s="171" t="n"/>
      <c r="J5" s="172" t="n"/>
    </row>
    <row r="6"/>
    <row r="7" ht="20" customHeight="1">
      <c r="A7" s="364" t="inlineStr">
        <is>
          <t xml:space="preserve">  Est. Revenue Bruto (Mix 30/70 Lokal/Ekspor)</t>
        </is>
      </c>
      <c r="B7" s="171" t="n"/>
      <c r="C7" s="171" t="n"/>
      <c r="D7" s="171" t="n"/>
      <c r="E7" s="171" t="n"/>
      <c r="F7" s="171" t="n"/>
      <c r="G7" s="171" t="n"/>
      <c r="H7" s="365" t="n">
        <v>390000000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50,000,000)</t>
        </is>
      </c>
      <c r="I8" s="171" t="n"/>
      <c r="J8" s="172" t="n"/>
    </row>
    <row r="9" ht="20" customHeight="1">
      <c r="A9" s="368" t="inlineStr">
        <is>
          <t xml:space="preserve">  SISA BERSIH (DASAR BAGI HASIL)</t>
        </is>
      </c>
      <c r="B9" s="171" t="n"/>
      <c r="C9" s="171" t="n"/>
      <c r="D9" s="171" t="n"/>
      <c r="E9" s="171" t="n"/>
      <c r="F9" s="171" t="n"/>
      <c r="G9" s="171" t="n"/>
      <c r="H9" s="369" t="n">
        <v>340000000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136000000</v>
      </c>
      <c r="I11" s="171" t="n"/>
      <c r="J11" s="172" t="n"/>
    </row>
    <row r="12" ht="20" customHeight="1">
      <c r="A12" s="372" t="inlineStr">
        <is>
          <t xml:space="preserve">  💰 Donatur 10%</t>
        </is>
      </c>
      <c r="B12" s="171" t="n"/>
      <c r="C12" s="171" t="n"/>
      <c r="D12" s="171" t="n"/>
      <c r="E12" s="171" t="n"/>
      <c r="F12" s="171" t="n"/>
      <c r="G12" s="171" t="n"/>
      <c r="H12" s="373" t="n">
        <v>34000000</v>
      </c>
      <c r="I12" s="171" t="n"/>
      <c r="J12" s="172" t="n"/>
    </row>
    <row r="13" ht="20" customHeight="1">
      <c r="A13" s="374" t="inlineStr">
        <is>
          <t xml:space="preserve">    → ROI Donatur</t>
        </is>
      </c>
      <c r="B13" s="171" t="n"/>
      <c r="C13" s="171" t="n"/>
      <c r="D13" s="171" t="n"/>
      <c r="E13" s="171" t="n"/>
      <c r="F13" s="171" t="n"/>
      <c r="G13" s="171" t="n"/>
      <c r="H13" s="375" t="inlineStr">
        <is>
          <t>14.8%</t>
        </is>
      </c>
      <c r="I13" s="171" t="n"/>
      <c r="J13" s="172" t="n"/>
    </row>
    <row r="14" ht="20" customHeight="1">
      <c r="A14" s="366" t="inlineStr">
        <is>
          <t xml:space="preserve">  👷 Tenaga Lokal 40%</t>
        </is>
      </c>
      <c r="B14" s="171" t="n"/>
      <c r="C14" s="171" t="n"/>
      <c r="D14" s="171" t="n"/>
      <c r="E14" s="171" t="n"/>
      <c r="F14" s="171" t="n"/>
      <c r="G14" s="171" t="n"/>
      <c r="H14" s="376" t="n">
        <v>136000000</v>
      </c>
      <c r="I14" s="171" t="n"/>
      <c r="J14" s="172" t="n"/>
    </row>
    <row r="15" ht="20" customHeight="1">
      <c r="A15" s="377" t="inlineStr">
        <is>
          <t xml:space="preserve">    → Sudah dibayar advance (gaji selama tanam)</t>
        </is>
      </c>
      <c r="B15" s="171" t="n"/>
      <c r="C15" s="171" t="n"/>
      <c r="D15" s="171" t="n"/>
      <c r="E15" s="171" t="n"/>
      <c r="F15" s="171" t="n"/>
      <c r="G15" s="171" t="n"/>
      <c r="H15" s="378" t="inlineStr">
        <is>
          <t>(Rp 44,300,000)</t>
        </is>
      </c>
      <c r="I15" s="171" t="n"/>
      <c r="J15" s="172" t="n"/>
    </row>
    <row r="16" ht="20" customHeight="1">
      <c r="A16" s="379" t="inlineStr">
        <is>
          <t xml:space="preserve">    → BONUS PANEN (terima tunai saat panen)</t>
        </is>
      </c>
      <c r="B16" s="171" t="n"/>
      <c r="C16" s="171" t="n"/>
      <c r="D16" s="171" t="n"/>
      <c r="E16" s="171" t="n"/>
      <c r="F16" s="171" t="n"/>
      <c r="G16" s="171" t="n"/>
      <c r="H16" s="380" t="n">
        <v>91700000</v>
      </c>
      <c r="I16" s="171" t="n"/>
      <c r="J16" s="172" t="n"/>
    </row>
    <row r="17" ht="20" customHeight="1">
      <c r="A17" s="381" t="inlineStr">
        <is>
          <t xml:space="preserve">  👦 Anak Binaan avg 3%</t>
        </is>
      </c>
      <c r="B17" s="171" t="n"/>
      <c r="C17" s="171" t="n"/>
      <c r="D17" s="171" t="n"/>
      <c r="E17" s="171" t="n"/>
      <c r="F17" s="171" t="n"/>
      <c r="G17" s="171" t="n"/>
      <c r="H17" s="382" t="n">
        <v>10200000</v>
      </c>
      <c r="I17" s="171" t="n"/>
      <c r="J17" s="172" t="n"/>
    </row>
    <row r="18" ht="20" customHeight="1">
      <c r="A18" s="383" t="inlineStr">
        <is>
          <t xml:space="preserve">  🎯 Fee Manajemen 10%</t>
        </is>
      </c>
      <c r="B18" s="171" t="n"/>
      <c r="C18" s="171" t="n"/>
      <c r="D18" s="171" t="n"/>
      <c r="E18" s="171" t="n"/>
      <c r="F18" s="171" t="n"/>
      <c r="G18" s="171" t="n"/>
      <c r="H18" s="384" t="n">
        <v>34000000</v>
      </c>
      <c r="I18" s="171" t="n"/>
      <c r="J18" s="172" t="n"/>
    </row>
    <row r="19"/>
    <row r="20" ht="20" customHeight="1">
      <c r="A20" s="385" t="inlineStr">
        <is>
          <t xml:space="preserve">  A. PERSIAPAN &amp; PENGOLAHAN LAHAN (sama semua komoditi)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26" customHeight="1">
      <c r="A21" s="435" t="inlineStr">
        <is>
          <t>No</t>
        </is>
      </c>
      <c r="B21" s="436" t="inlineStr">
        <is>
          <t>Uraian Pekerjaan / Item</t>
        </is>
      </c>
      <c r="C21" s="437" t="inlineStr">
        <is>
          <t>Vol</t>
        </is>
      </c>
      <c r="D21" s="437" t="inlineStr">
        <is>
          <t>Sat</t>
        </is>
      </c>
      <c r="E21" s="437" t="inlineStr">
        <is>
          <t>Harga Sat (Rp)</t>
        </is>
      </c>
      <c r="F21" s="437" t="inlineStr">
        <is>
          <t>Total (Rp)</t>
        </is>
      </c>
      <c r="G21" s="437" t="inlineStr">
        <is>
          <t>Fase</t>
        </is>
      </c>
      <c r="H21" s="438" t="inlineStr">
        <is>
          <t>Keterangan</t>
        </is>
      </c>
      <c r="I21" s="178" t="n"/>
      <c r="J21" s="179" t="n"/>
    </row>
    <row r="22" ht="18" customHeight="1">
      <c r="A22" s="395" t="n">
        <v>1</v>
      </c>
      <c r="B22" s="396" t="inlineStr">
        <is>
          <t>Survei &amp; analisa tanah (pH, NPK, tekstur)</t>
        </is>
      </c>
      <c r="C22" s="397" t="n">
        <v>1</v>
      </c>
      <c r="D22" s="395" t="inlineStr">
        <is>
          <t>paket</t>
        </is>
      </c>
      <c r="E22" s="183" t="n">
        <v>1500000</v>
      </c>
      <c r="F22" s="184" t="n">
        <v>1500000</v>
      </c>
      <c r="G22" s="393" t="inlineStr">
        <is>
          <t>Fase 0</t>
        </is>
      </c>
      <c r="H22" s="398" t="inlineStr">
        <is>
          <t>Balai Pertanian setempat. pH target 6.0–6.5 untuk semua rempah</t>
        </is>
      </c>
      <c r="I22" s="171" t="n"/>
      <c r="J22" s="172" t="n"/>
    </row>
    <row r="23" ht="18" customHeight="1">
      <c r="A23" s="395" t="n">
        <v>2</v>
      </c>
      <c r="B23" s="396" t="inlineStr">
        <is>
          <t>Pembersihan lahan (babat, cabut tunggul)</t>
        </is>
      </c>
      <c r="C23" s="397" t="n">
        <v>10000</v>
      </c>
      <c r="D23" s="395" t="inlineStr">
        <is>
          <t>m²</t>
        </is>
      </c>
      <c r="E23" s="183" t="n">
        <v>500</v>
      </c>
      <c r="F23" s="184" t="n">
        <v>5000000</v>
      </c>
      <c r="G23" s="393" t="inlineStr">
        <is>
          <t>Fase 0</t>
        </is>
      </c>
      <c r="H23" s="398" t="inlineStr">
        <is>
          <t>3 pekerja lokal × 10 hari × Rp 150.000. Prioritas warga sekitar yayasan</t>
        </is>
      </c>
      <c r="I23" s="171" t="n"/>
      <c r="J23" s="172" t="n"/>
    </row>
    <row r="24" ht="18" customHeight="1">
      <c r="A24" s="395" t="n">
        <v>3</v>
      </c>
      <c r="B24" s="396" t="inlineStr">
        <is>
          <t>Pengolahan tanah — bajak 2× (mini traktor)</t>
        </is>
      </c>
      <c r="C24" s="397" t="n">
        <v>10000</v>
      </c>
      <c r="D24" s="395" t="inlineStr">
        <is>
          <t>m²</t>
        </is>
      </c>
      <c r="E24" s="183" t="n">
        <v>800</v>
      </c>
      <c r="F24" s="184" t="n">
        <v>8000000</v>
      </c>
      <c r="G24" s="393" t="inlineStr">
        <is>
          <t>Fase 0</t>
        </is>
      </c>
      <c r="H24" s="398" t="inlineStr">
        <is>
          <t>Sewa traktor lokal. Kedalaman 30cm, buat struktur tanah gembur</t>
        </is>
      </c>
      <c r="I24" s="171" t="n"/>
      <c r="J24" s="172" t="n"/>
    </row>
    <row r="25" ht="18" customHeight="1">
      <c r="A25" s="187" t="n">
        <v>4</v>
      </c>
      <c r="B25" s="188" t="inlineStr">
        <is>
          <t>Aplikasi kapur dolomit (naikkan pH)</t>
        </is>
      </c>
      <c r="C25" s="399" t="n">
        <v>2000</v>
      </c>
      <c r="D25" s="187" t="inlineStr">
        <is>
          <t>kg</t>
        </is>
      </c>
      <c r="E25" s="183" t="n">
        <v>1000</v>
      </c>
      <c r="F25" s="184" t="n">
        <v>2000000</v>
      </c>
      <c r="G25" s="393" t="inlineStr">
        <is>
          <t>Fase 0</t>
        </is>
      </c>
      <c r="H25" s="190" t="inlineStr">
        <is>
          <t>2 minggu sebelum tanam. Target pH 6.0–6.5</t>
        </is>
      </c>
      <c r="I25" s="171" t="n"/>
      <c r="J25" s="172" t="n"/>
    </row>
    <row r="26" ht="18" customHeight="1">
      <c r="A26" s="395" t="n">
        <v>5</v>
      </c>
      <c r="B26" s="396" t="inlineStr">
        <is>
          <t>Pembuatan bedengan + saluran drainase</t>
        </is>
      </c>
      <c r="C26" s="397" t="n">
        <v>10000</v>
      </c>
      <c r="D26" s="395" t="inlineStr">
        <is>
          <t>m²</t>
        </is>
      </c>
      <c r="E26" s="183" t="n">
        <v>400</v>
      </c>
      <c r="F26" s="184" t="n">
        <v>4000000</v>
      </c>
      <c r="G26" s="393" t="inlineStr">
        <is>
          <t>Fase 0</t>
        </is>
      </c>
      <c r="H26" s="398" t="inlineStr">
        <is>
          <t>Lebar 100cm, tinggi 30cm, jarak 40cm antar bedeng</t>
        </is>
      </c>
      <c r="I26" s="171" t="n"/>
      <c r="J26" s="172" t="n"/>
    </row>
    <row r="27" ht="18" customHeight="1">
      <c r="A27" s="187" t="n">
        <v>6</v>
      </c>
      <c r="B27" s="188" t="inlineStr">
        <is>
          <t>Pemasangan mulsa plastik hitam perak</t>
        </is>
      </c>
      <c r="C27" s="399" t="n">
        <v>100</v>
      </c>
      <c r="D27" s="187" t="inlineStr">
        <is>
          <t>roll</t>
        </is>
      </c>
      <c r="E27" s="183" t="n">
        <v>60000</v>
      </c>
      <c r="F27" s="184" t="n">
        <v>6000000</v>
      </c>
      <c r="G27" s="400" t="inlineStr">
        <is>
          <t>Fase 1</t>
        </is>
      </c>
      <c r="H27" s="190" t="inlineStr">
        <is>
          <t>Wajib! Kendalikan gulma &amp; kelembaban tanah</t>
        </is>
      </c>
      <c r="I27" s="171" t="n"/>
      <c r="J27" s="172" t="n"/>
    </row>
    <row r="28" ht="18" customHeight="1">
      <c r="A28" s="395" t="n">
        <v>7</v>
      </c>
      <c r="B28" s="396" t="inlineStr">
        <is>
          <t>Pembuatan jalan setapak antar bedeng</t>
        </is>
      </c>
      <c r="C28" s="397" t="n">
        <v>1</v>
      </c>
      <c r="D28" s="395" t="inlineStr">
        <is>
          <t>paket</t>
        </is>
      </c>
      <c r="E28" s="183" t="n">
        <v>3000000</v>
      </c>
      <c r="F28" s="184" t="n">
        <v>3000000</v>
      </c>
      <c r="G28" s="400" t="inlineStr">
        <is>
          <t>Fase 1</t>
        </is>
      </c>
      <c r="H28" s="398" t="inlineStr">
        <is>
          <t>Sirtu atau batu kali, lebar 40cm</t>
        </is>
      </c>
      <c r="I28" s="171" t="n"/>
      <c r="J28" s="172" t="n"/>
    </row>
    <row r="29" ht="18" customHeight="1">
      <c r="A29" s="395" t="n">
        <v>8</v>
      </c>
      <c r="B29" s="396" t="inlineStr">
        <is>
          <t>Gaji pekerja lokal persiapan lahan (total)</t>
        </is>
      </c>
      <c r="C29" s="397" t="n">
        <v>15</v>
      </c>
      <c r="D29" s="395" t="inlineStr">
        <is>
          <t>HOK</t>
        </is>
      </c>
      <c r="E29" s="183" t="n">
        <v>150000</v>
      </c>
      <c r="F29" s="401" t="n">
        <v>2250000</v>
      </c>
      <c r="G29" s="393" t="inlineStr">
        <is>
          <t>Fase 0</t>
        </is>
      </c>
      <c r="H29" s="398" t="inlineStr">
        <is>
          <t>⚠️ ADVANCE: dicatat sebagai pinjaman, dipotong dari porsi 40% saat panen</t>
        </is>
      </c>
      <c r="I29" s="171" t="n"/>
      <c r="J29" s="172" t="n"/>
    </row>
    <row r="30" ht="20" customHeight="1">
      <c r="A30" s="439" t="inlineStr">
        <is>
          <t xml:space="preserve">  ▶ SUBTOTAL: PERSIAPAN LAHAN</t>
        </is>
      </c>
      <c r="B30" s="178" t="n"/>
      <c r="C30" s="178" t="n"/>
      <c r="D30" s="178" t="n"/>
      <c r="E30" s="178" t="n"/>
      <c r="F30" s="440" t="n">
        <v>31750000</v>
      </c>
      <c r="G30" s="441" t="n"/>
      <c r="H30" s="178" t="n"/>
      <c r="I30" s="178" t="n"/>
      <c r="J30" s="179" t="n"/>
    </row>
    <row r="31"/>
    <row r="32" ht="20" customHeight="1">
      <c r="A32" s="385" t="inlineStr">
        <is>
          <t xml:space="preserve">  B. PEMBIBITAN &amp; PENGADAAN BIBIT — Kunyit</t>
        </is>
      </c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2" t="n"/>
    </row>
    <row r="33" ht="26" customHeight="1">
      <c r="A33" s="435" t="inlineStr">
        <is>
          <t>No</t>
        </is>
      </c>
      <c r="B33" s="436" t="inlineStr">
        <is>
          <t>Uraian Pekerjaan / Item</t>
        </is>
      </c>
      <c r="C33" s="437" t="inlineStr">
        <is>
          <t>Vol</t>
        </is>
      </c>
      <c r="D33" s="437" t="inlineStr">
        <is>
          <t>Sat</t>
        </is>
      </c>
      <c r="E33" s="437" t="inlineStr">
        <is>
          <t>Harga Sat (Rp)</t>
        </is>
      </c>
      <c r="F33" s="437" t="inlineStr">
        <is>
          <t>Total (Rp)</t>
        </is>
      </c>
      <c r="G33" s="437" t="inlineStr">
        <is>
          <t>Fase</t>
        </is>
      </c>
      <c r="H33" s="438" t="inlineStr">
        <is>
          <t>Keterangan</t>
        </is>
      </c>
      <c r="I33" s="178" t="n"/>
      <c r="J33" s="179" t="n"/>
    </row>
    <row r="34" ht="18" customHeight="1">
      <c r="A34" s="395" t="n">
        <v>1</v>
      </c>
      <c r="B34" s="442" t="inlineStr">
        <is>
          <t>Bibit rimpang kunyit (15–20g/bibit)</t>
        </is>
      </c>
      <c r="C34" s="397" t="n">
        <v>60000</v>
      </c>
      <c r="D34" s="395" t="inlineStr">
        <is>
          <t>bibit</t>
        </is>
      </c>
      <c r="E34" s="183" t="n">
        <v>800</v>
      </c>
      <c r="F34" s="184" t="n">
        <v>48000000</v>
      </c>
      <c r="G34" s="400" t="inlineStr">
        <is>
          <t>Fase 1</t>
        </is>
      </c>
      <c r="H34" s="398" t="inlineStr">
        <is>
          <t>Tanam lebih rapat (25×15cm). Beli dari petani Bogor</t>
        </is>
      </c>
      <c r="I34" s="171" t="n"/>
      <c r="J34" s="172" t="n"/>
    </row>
    <row r="35" ht="18" customHeight="1">
      <c r="A35" s="187" t="n">
        <v>2</v>
      </c>
      <c r="B35" s="188" t="inlineStr">
        <is>
          <t>Polybag semai + media</t>
        </is>
      </c>
      <c r="C35" s="399" t="n">
        <v>60000</v>
      </c>
      <c r="D35" s="187" t="inlineStr">
        <is>
          <t>pcs</t>
        </is>
      </c>
      <c r="E35" s="183" t="n">
        <v>150</v>
      </c>
      <c r="F35" s="184" t="n">
        <v>9000000</v>
      </c>
      <c r="G35" s="400" t="inlineStr">
        <is>
          <t>Fase 1</t>
        </is>
      </c>
      <c r="H35" s="190" t="inlineStr">
        <is>
          <t>Naungan 50% saat semai</t>
        </is>
      </c>
      <c r="I35" s="171" t="n"/>
      <c r="J35" s="172" t="n"/>
    </row>
    <row r="36" ht="18" customHeight="1">
      <c r="A36" s="395" t="n">
        <v>3</v>
      </c>
      <c r="B36" s="396" t="inlineStr">
        <is>
          <t>Perlakuan bibit Thiram/Trichoderma</t>
        </is>
      </c>
      <c r="C36" s="397" t="n">
        <v>5</v>
      </c>
      <c r="D36" s="395" t="inlineStr">
        <is>
          <t>liter</t>
        </is>
      </c>
      <c r="E36" s="183" t="n">
        <v>150000</v>
      </c>
      <c r="F36" s="184" t="n">
        <v>750000</v>
      </c>
      <c r="G36" s="400" t="inlineStr">
        <is>
          <t>Fase 1</t>
        </is>
      </c>
      <c r="H36" s="398" t="inlineStr">
        <is>
          <t>Kunyit rentan busuk bibit</t>
        </is>
      </c>
      <c r="I36" s="171" t="n"/>
      <c r="J36" s="172" t="n"/>
    </row>
    <row r="37" ht="18" customHeight="1">
      <c r="A37" s="187" t="n">
        <v>4</v>
      </c>
      <c r="B37" s="188" t="inlineStr">
        <is>
          <t>Boron (tingkatkan curcumin content)</t>
        </is>
      </c>
      <c r="C37" s="399" t="n">
        <v>20</v>
      </c>
      <c r="D37" s="187" t="inlineStr">
        <is>
          <t>kg</t>
        </is>
      </c>
      <c r="E37" s="183" t="n">
        <v>35000</v>
      </c>
      <c r="F37" s="184" t="n">
        <v>700000</v>
      </c>
      <c r="G37" s="406" t="inlineStr">
        <is>
          <t>Rutin</t>
        </is>
      </c>
      <c r="H37" s="190" t="inlineStr">
        <is>
          <t>Bln 3 &amp; 6. Curcumin = penentu harga ekspor</t>
        </is>
      </c>
      <c r="I37" s="171" t="n"/>
      <c r="J37" s="172" t="n"/>
    </row>
    <row r="38" ht="20" customHeight="1">
      <c r="A38" s="439" t="inlineStr">
        <is>
          <t xml:space="preserve">  ▶ SUBTOTAL: BIBIT KUNYIT</t>
        </is>
      </c>
      <c r="B38" s="178" t="n"/>
      <c r="C38" s="178" t="n"/>
      <c r="D38" s="178" t="n"/>
      <c r="E38" s="178" t="n"/>
      <c r="F38" s="440" t="n">
        <v>58450000</v>
      </c>
      <c r="G38" s="441" t="n"/>
      <c r="H38" s="178" t="n"/>
      <c r="I38" s="178" t="n"/>
      <c r="J38" s="179" t="n"/>
    </row>
    <row r="39"/>
    <row r="40" ht="20" customHeight="1">
      <c r="A40" s="385" t="inlineStr">
        <is>
          <t xml:space="preserve">  C. IRIGASI &amp; INSTALASI PIPA (dari titik keran yayasan ke lahan)</t>
        </is>
      </c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2" t="n"/>
    </row>
    <row r="41" ht="22" customHeight="1">
      <c r="A41" s="407" t="inlineStr">
        <is>
          <t xml:space="preserve">  ℹ️  Yayasan menyediakan TITIK KERAN di jalur utama. Biaya di bawah adalah dari keran → area tanam masing-masing lahan.</t>
        </is>
      </c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2" t="n"/>
    </row>
    <row r="42" ht="26" customHeight="1">
      <c r="A42" s="435" t="inlineStr">
        <is>
          <t>No</t>
        </is>
      </c>
      <c r="B42" s="436" t="inlineStr">
        <is>
          <t>Uraian Pekerjaan / Item</t>
        </is>
      </c>
      <c r="C42" s="437" t="inlineStr">
        <is>
          <t>Vol</t>
        </is>
      </c>
      <c r="D42" s="437" t="inlineStr">
        <is>
          <t>Sat</t>
        </is>
      </c>
      <c r="E42" s="437" t="inlineStr">
        <is>
          <t>Harga Sat (Rp)</t>
        </is>
      </c>
      <c r="F42" s="437" t="inlineStr">
        <is>
          <t>Total (Rp)</t>
        </is>
      </c>
      <c r="G42" s="437" t="inlineStr">
        <is>
          <t>Fase</t>
        </is>
      </c>
      <c r="H42" s="438" t="inlineStr">
        <is>
          <t>Keterangan</t>
        </is>
      </c>
      <c r="I42" s="178" t="n"/>
      <c r="J42" s="179" t="n"/>
    </row>
    <row r="43" ht="18" customHeight="1">
      <c r="A43" s="395" t="n">
        <v>1</v>
      </c>
      <c r="B43" s="396" t="inlineStr">
        <is>
          <t>Tandon air 1.000L PE food grade (2 unit)</t>
        </is>
      </c>
      <c r="C43" s="397" t="n">
        <v>2</v>
      </c>
      <c r="D43" s="395" t="inlineStr">
        <is>
          <t>unit</t>
        </is>
      </c>
      <c r="E43" s="183" t="n">
        <v>800000</v>
      </c>
      <c r="F43" s="184" t="n">
        <v>1600000</v>
      </c>
      <c r="G43" s="400" t="inlineStr">
        <is>
          <t>Fase 1</t>
        </is>
      </c>
      <c r="H43" s="398" t="inlineStr">
        <is>
          <t>Titik tertinggi lahan. Gravitasi bantu tekanan</t>
        </is>
      </c>
      <c r="I43" s="171" t="n"/>
      <c r="J43" s="172" t="n"/>
    </row>
    <row r="44" ht="18" customHeight="1">
      <c r="A44" s="187" t="n">
        <v>2</v>
      </c>
      <c r="B44" s="188" t="inlineStr">
        <is>
          <t>Pipa PVC 1,5" utama dari tandon</t>
        </is>
      </c>
      <c r="C44" s="399" t="n">
        <v>6</v>
      </c>
      <c r="D44" s="187" t="inlineStr">
        <is>
          <t>btg 4m</t>
        </is>
      </c>
      <c r="E44" s="183" t="n">
        <v>45000</v>
      </c>
      <c r="F44" s="184" t="n">
        <v>270000</v>
      </c>
      <c r="G44" s="400" t="inlineStr">
        <is>
          <t>Fase 1</t>
        </is>
      </c>
      <c r="H44" s="190" t="inlineStr">
        <is>
          <t>~20m dari tandon ke manifold</t>
        </is>
      </c>
      <c r="I44" s="171" t="n"/>
      <c r="J44" s="172" t="n"/>
    </row>
    <row r="45" ht="18" customHeight="1">
      <c r="A45" s="395" t="n">
        <v>3</v>
      </c>
      <c r="B45" s="396" t="inlineStr">
        <is>
          <t>Manifold PVC 1" (header per zona irigasi)</t>
        </is>
      </c>
      <c r="C45" s="397" t="n">
        <v>4</v>
      </c>
      <c r="D45" s="395" t="inlineStr">
        <is>
          <t>unit</t>
        </is>
      </c>
      <c r="E45" s="183" t="n">
        <v>50000</v>
      </c>
      <c r="F45" s="184" t="n">
        <v>200000</v>
      </c>
      <c r="G45" s="400" t="inlineStr">
        <is>
          <t>Fase 1</t>
        </is>
      </c>
      <c r="H45" s="398" t="inlineStr">
        <is>
          <t>4 zona bagi agar tekanan merata</t>
        </is>
      </c>
      <c r="I45" s="171" t="n"/>
      <c r="J45" s="172" t="n"/>
    </row>
    <row r="46" ht="18" customHeight="1">
      <c r="A46" s="187" t="n">
        <v>4</v>
      </c>
      <c r="B46" s="188" t="inlineStr">
        <is>
          <t>Pipa lateral PVC 3/4" (ke blok bedeng)</t>
        </is>
      </c>
      <c r="C46" s="399" t="n">
        <v>25</v>
      </c>
      <c r="D46" s="187" t="inlineStr">
        <is>
          <t>btg 4m</t>
        </is>
      </c>
      <c r="E46" s="183" t="n">
        <v>25000</v>
      </c>
      <c r="F46" s="184" t="n">
        <v>625000</v>
      </c>
      <c r="G46" s="400" t="inlineStr">
        <is>
          <t>Fase 1</t>
        </is>
      </c>
      <c r="H46" s="190" t="n"/>
      <c r="I46" s="171" t="n"/>
      <c r="J46" s="172" t="n"/>
    </row>
    <row r="47" ht="18" customHeight="1">
      <c r="A47" s="395" t="n">
        <v>5</v>
      </c>
      <c r="B47" s="396" t="inlineStr">
        <is>
          <t>Selang PE 1/2" drip line per baris</t>
        </is>
      </c>
      <c r="C47" s="397" t="n">
        <v>300</v>
      </c>
      <c r="D47" s="395" t="inlineStr">
        <is>
          <t>meter</t>
        </is>
      </c>
      <c r="E47" s="183" t="n">
        <v>5000</v>
      </c>
      <c r="F47" s="184" t="n">
        <v>1500000</v>
      </c>
      <c r="G47" s="400" t="inlineStr">
        <is>
          <t>Fase 1</t>
        </is>
      </c>
      <c r="H47" s="398" t="inlineStr">
        <is>
          <t>Sesuaikan jarak tanam</t>
        </is>
      </c>
      <c r="I47" s="171" t="n"/>
      <c r="J47" s="172" t="n"/>
    </row>
    <row r="48" ht="18" customHeight="1">
      <c r="A48" s="187" t="n">
        <v>6</v>
      </c>
      <c r="B48" s="188" t="inlineStr">
        <is>
          <t>Emitter drip 2L/jam (1 per bibit)</t>
        </is>
      </c>
      <c r="C48" s="399" t="n">
        <v>60000</v>
      </c>
      <c r="D48" s="187" t="inlineStr">
        <is>
          <t>pcs</t>
        </is>
      </c>
      <c r="E48" s="183" t="n">
        <v>600</v>
      </c>
      <c r="F48" s="184" t="n">
        <v>36000000</v>
      </c>
      <c r="G48" s="400" t="inlineStr">
        <is>
          <t>Fase 1</t>
        </is>
      </c>
      <c r="H48" s="190" t="inlineStr">
        <is>
          <t>60,000 bibit = 60,000 emitter</t>
        </is>
      </c>
      <c r="I48" s="171" t="n"/>
      <c r="J48" s="172" t="n"/>
    </row>
    <row r="49" ht="18" customHeight="1">
      <c r="A49" s="395" t="n">
        <v>7</v>
      </c>
      <c r="B49" s="396" t="inlineStr">
        <is>
          <t>Ball valve 3/4" (kontrol zona)</t>
        </is>
      </c>
      <c r="C49" s="397" t="n">
        <v>8</v>
      </c>
      <c r="D49" s="395" t="inlineStr">
        <is>
          <t>pcs</t>
        </is>
      </c>
      <c r="E49" s="183" t="n">
        <v>25000</v>
      </c>
      <c r="F49" s="184" t="n">
        <v>200000</v>
      </c>
      <c r="G49" s="400" t="inlineStr">
        <is>
          <t>Fase 1</t>
        </is>
      </c>
      <c r="H49" s="398" t="n"/>
      <c r="I49" s="171" t="n"/>
      <c r="J49" s="172" t="n"/>
    </row>
    <row r="50" ht="18" customHeight="1">
      <c r="A50" s="187" t="n">
        <v>8</v>
      </c>
      <c r="B50" s="188" t="inlineStr">
        <is>
          <t>Filter sedimen sebelum emitter</t>
        </is>
      </c>
      <c r="C50" s="399" t="n">
        <v>2</v>
      </c>
      <c r="D50" s="187" t="inlineStr">
        <is>
          <t>unit</t>
        </is>
      </c>
      <c r="E50" s="183" t="n">
        <v>150000</v>
      </c>
      <c r="F50" s="184" t="n">
        <v>300000</v>
      </c>
      <c r="G50" s="400" t="inlineStr">
        <is>
          <t>Fase 1</t>
        </is>
      </c>
      <c r="H50" s="190" t="inlineStr">
        <is>
          <t>Wajib! Cegah buntu</t>
        </is>
      </c>
      <c r="I50" s="171" t="n"/>
      <c r="J50" s="172" t="n"/>
    </row>
    <row r="51" ht="18" customHeight="1">
      <c r="A51" s="395" t="n">
        <v>9</v>
      </c>
      <c r="B51" s="396" t="inlineStr">
        <is>
          <t>Fitting (elbow, T, keni, lem PVC)</t>
        </is>
      </c>
      <c r="C51" s="397" t="n">
        <v>1</v>
      </c>
      <c r="D51" s="395" t="inlineStr">
        <is>
          <t>paket</t>
        </is>
      </c>
      <c r="E51" s="183" t="n">
        <v>350000</v>
      </c>
      <c r="F51" s="184" t="n">
        <v>350000</v>
      </c>
      <c r="G51" s="400" t="inlineStr">
        <is>
          <t>Fase 1</t>
        </is>
      </c>
      <c r="H51" s="398" t="n"/>
      <c r="I51" s="171" t="n"/>
      <c r="J51" s="172" t="n"/>
    </row>
    <row r="52" ht="18" customHeight="1">
      <c r="A52" s="187" t="n">
        <v>10</v>
      </c>
      <c r="B52" s="188" t="inlineStr">
        <is>
          <t>Selang siram manual 1" × 30m (backup)</t>
        </is>
      </c>
      <c r="C52" s="399" t="n">
        <v>2</v>
      </c>
      <c r="D52" s="187" t="inlineStr">
        <is>
          <t>gulung</t>
        </is>
      </c>
      <c r="E52" s="183" t="n">
        <v>200000</v>
      </c>
      <c r="F52" s="184" t="n">
        <v>400000</v>
      </c>
      <c r="G52" s="400" t="inlineStr">
        <is>
          <t>Fase 1</t>
        </is>
      </c>
      <c r="H52" s="190" t="inlineStr">
        <is>
          <t>Backup + aplikasi pupuk cair</t>
        </is>
      </c>
      <c r="I52" s="171" t="n"/>
      <c r="J52" s="172" t="n"/>
    </row>
    <row r="53" ht="18" customHeight="1">
      <c r="A53" s="395" t="n">
        <v>11</v>
      </c>
      <c r="B53" s="396" t="inlineStr">
        <is>
          <t>Pompa celup 125W (jika tidak gravitasi)</t>
        </is>
      </c>
      <c r="C53" s="397" t="n">
        <v>1</v>
      </c>
      <c r="D53" s="395" t="inlineStr">
        <is>
          <t>unit</t>
        </is>
      </c>
      <c r="E53" s="183" t="n">
        <v>800000</v>
      </c>
      <c r="F53" s="184" t="n">
        <v>800000</v>
      </c>
      <c r="G53" s="400" t="inlineStr">
        <is>
          <t>Fase 1</t>
        </is>
      </c>
      <c r="H53" s="398" t="inlineStr">
        <is>
          <t>Cek elevasi lahan dulu</t>
        </is>
      </c>
      <c r="I53" s="171" t="n"/>
      <c r="J53" s="172" t="n"/>
    </row>
    <row r="54" ht="18" customHeight="1">
      <c r="A54" s="187" t="n">
        <v>12</v>
      </c>
      <c r="B54" s="188" t="inlineStr">
        <is>
          <t>Paranet 50% naungan (kunyit semi-shade)</t>
        </is>
      </c>
      <c r="C54" s="399" t="n">
        <v>5000</v>
      </c>
      <c r="D54" s="187" t="inlineStr">
        <is>
          <t>m²</t>
        </is>
      </c>
      <c r="E54" s="183" t="n">
        <v>3500</v>
      </c>
      <c r="F54" s="184" t="n">
        <v>17500000</v>
      </c>
      <c r="G54" s="400" t="inlineStr">
        <is>
          <t>Fase 1</t>
        </is>
      </c>
      <c r="H54" s="190" t="inlineStr">
        <is>
          <t>Curcumin lebih tinggi di kondisi semi-naungan</t>
        </is>
      </c>
      <c r="I54" s="171" t="n"/>
      <c r="J54" s="172" t="n"/>
    </row>
    <row r="55" ht="20" customHeight="1">
      <c r="A55" s="439" t="inlineStr">
        <is>
          <t xml:space="preserve">  ▶ SUBTOTAL: IRIGASI &amp; PIPA</t>
        </is>
      </c>
      <c r="B55" s="178" t="n"/>
      <c r="C55" s="178" t="n"/>
      <c r="D55" s="178" t="n"/>
      <c r="E55" s="178" t="n"/>
      <c r="F55" s="440" t="n">
        <v>59745000</v>
      </c>
      <c r="G55" s="441" t="n"/>
      <c r="H55" s="178" t="n"/>
      <c r="I55" s="178" t="n"/>
      <c r="J55" s="179" t="n"/>
    </row>
    <row r="56"/>
    <row r="57" ht="20" customHeight="1">
      <c r="A57" s="385" t="inlineStr">
        <is>
          <t xml:space="preserve">  D. PUPUK, NUTRISI &amp; PERLINDUNGAN TANAMAN</t>
        </is>
      </c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2" t="n"/>
    </row>
    <row r="58" ht="26" customHeight="1">
      <c r="A58" s="435" t="inlineStr">
        <is>
          <t>No</t>
        </is>
      </c>
      <c r="B58" s="436" t="inlineStr">
        <is>
          <t>Uraian Pekerjaan / Item</t>
        </is>
      </c>
      <c r="C58" s="437" t="inlineStr">
        <is>
          <t>Vol</t>
        </is>
      </c>
      <c r="D58" s="437" t="inlineStr">
        <is>
          <t>Sat</t>
        </is>
      </c>
      <c r="E58" s="437" t="inlineStr">
        <is>
          <t>Harga Sat (Rp)</t>
        </is>
      </c>
      <c r="F58" s="437" t="inlineStr">
        <is>
          <t>Total (Rp)</t>
        </is>
      </c>
      <c r="G58" s="437" t="inlineStr">
        <is>
          <t>Fase</t>
        </is>
      </c>
      <c r="H58" s="438" t="inlineStr">
        <is>
          <t>Keterangan</t>
        </is>
      </c>
      <c r="I58" s="178" t="n"/>
      <c r="J58" s="179" t="n"/>
    </row>
    <row r="59" ht="18" customHeight="1">
      <c r="A59" s="395" t="n">
        <v>1</v>
      </c>
      <c r="B59" s="396" t="inlineStr">
        <is>
          <t>Pupuk kandang matang 20 ton/ha</t>
        </is>
      </c>
      <c r="C59" s="397" t="n">
        <v>20000</v>
      </c>
      <c r="D59" s="395" t="inlineStr">
        <is>
          <t>kg</t>
        </is>
      </c>
      <c r="E59" s="183" t="n">
        <v>300</v>
      </c>
      <c r="F59" s="184" t="n">
        <v>6000000</v>
      </c>
      <c r="G59" s="393" t="inlineStr">
        <is>
          <t>Fase 0</t>
        </is>
      </c>
      <c r="H59" s="398" t="inlineStr">
        <is>
          <t>2 minggu sebelum tanam</t>
        </is>
      </c>
      <c r="I59" s="171" t="n"/>
      <c r="J59" s="172" t="n"/>
    </row>
    <row r="60" ht="18" customHeight="1">
      <c r="A60" s="187" t="n">
        <v>2</v>
      </c>
      <c r="B60" s="188" t="inlineStr">
        <is>
          <t>NPK 16-16-16 (dasar + susulan)</t>
        </is>
      </c>
      <c r="C60" s="399" t="n">
        <v>500</v>
      </c>
      <c r="D60" s="187" t="inlineStr">
        <is>
          <t>kg</t>
        </is>
      </c>
      <c r="E60" s="183" t="n">
        <v>8500</v>
      </c>
      <c r="F60" s="184" t="n">
        <v>4250000</v>
      </c>
      <c r="G60" s="400" t="inlineStr">
        <is>
          <t>Fase 1</t>
        </is>
      </c>
      <c r="H60" s="190" t="inlineStr">
        <is>
          <t>50% dasar, 50% bln 2&amp;4</t>
        </is>
      </c>
      <c r="I60" s="171" t="n"/>
      <c r="J60" s="172" t="n"/>
    </row>
    <row r="61" ht="18" customHeight="1">
      <c r="A61" s="395" t="n">
        <v>3</v>
      </c>
      <c r="B61" s="396" t="inlineStr">
        <is>
          <t>SP-36 fosfor akar</t>
        </is>
      </c>
      <c r="C61" s="397" t="n">
        <v>150</v>
      </c>
      <c r="D61" s="395" t="inlineStr">
        <is>
          <t>kg</t>
        </is>
      </c>
      <c r="E61" s="183" t="n">
        <v>5500</v>
      </c>
      <c r="F61" s="184" t="n">
        <v>825000</v>
      </c>
      <c r="G61" s="393" t="inlineStr">
        <is>
          <t>Fase 0</t>
        </is>
      </c>
      <c r="H61" s="398" t="inlineStr">
        <is>
          <t>Campur saat pengolahan tanah</t>
        </is>
      </c>
      <c r="I61" s="171" t="n"/>
      <c r="J61" s="172" t="n"/>
    </row>
    <row r="62" ht="18" customHeight="1">
      <c r="A62" s="187" t="n">
        <v>4</v>
      </c>
      <c r="B62" s="188" t="inlineStr">
        <is>
          <t>Pupuk organik cair MOL (8 bln)</t>
        </is>
      </c>
      <c r="C62" s="399" t="n">
        <v>8</v>
      </c>
      <c r="D62" s="187" t="inlineStr">
        <is>
          <t>bln</t>
        </is>
      </c>
      <c r="E62" s="183" t="n">
        <v>300000</v>
      </c>
      <c r="F62" s="184" t="n">
        <v>2400000</v>
      </c>
      <c r="G62" s="406" t="inlineStr">
        <is>
          <t>Rutin</t>
        </is>
      </c>
      <c r="H62" s="190" t="inlineStr">
        <is>
          <t>Semprot 2× sebulan</t>
        </is>
      </c>
      <c r="I62" s="171" t="n"/>
      <c r="J62" s="172" t="n"/>
    </row>
    <row r="63" ht="18" customHeight="1">
      <c r="A63" s="395" t="n">
        <v>5</v>
      </c>
      <c r="B63" s="396" t="inlineStr">
        <is>
          <t>Trichoderma sp. (biofungisida)</t>
        </is>
      </c>
      <c r="C63" s="397" t="n">
        <v>5</v>
      </c>
      <c r="D63" s="395" t="inlineStr">
        <is>
          <t>kg</t>
        </is>
      </c>
      <c r="E63" s="183" t="n">
        <v>80000</v>
      </c>
      <c r="F63" s="184" t="n">
        <v>400000</v>
      </c>
      <c r="G63" s="400" t="inlineStr">
        <is>
          <t>Fase 1</t>
        </is>
      </c>
      <c r="H63" s="398" t="inlineStr">
        <is>
          <t>Campur pupuk kandang saat tanam</t>
        </is>
      </c>
      <c r="I63" s="171" t="n"/>
      <c r="J63" s="172" t="n"/>
    </row>
    <row r="64" ht="18" customHeight="1">
      <c r="A64" s="187" t="n">
        <v>6</v>
      </c>
      <c r="B64" s="188" t="inlineStr">
        <is>
          <t>Pupuk daun Gandasil-D (vegetatif bln 1–3)</t>
        </is>
      </c>
      <c r="C64" s="399" t="n">
        <v>5</v>
      </c>
      <c r="D64" s="187" t="inlineStr">
        <is>
          <t>kg</t>
        </is>
      </c>
      <c r="E64" s="183" t="n">
        <v>45000</v>
      </c>
      <c r="F64" s="184" t="n">
        <v>225000</v>
      </c>
      <c r="G64" s="406" t="inlineStr">
        <is>
          <t>Rutin</t>
        </is>
      </c>
      <c r="H64" s="190" t="inlineStr">
        <is>
          <t>Semprot 2× sebulan</t>
        </is>
      </c>
      <c r="I64" s="171" t="n"/>
      <c r="J64" s="172" t="n"/>
    </row>
    <row r="65" ht="18" customHeight="1">
      <c r="A65" s="395" t="n">
        <v>7</v>
      </c>
      <c r="B65" s="396" t="inlineStr">
        <is>
          <t>Uji curcumin lab (pra-panen bln 8)</t>
        </is>
      </c>
      <c r="C65" s="397" t="n">
        <v>2</v>
      </c>
      <c r="D65" s="395" t="inlineStr">
        <is>
          <t>sampel</t>
        </is>
      </c>
      <c r="E65" s="183" t="n">
        <v>750000</v>
      </c>
      <c r="F65" s="184" t="n">
        <v>1500000</v>
      </c>
      <c r="G65" s="400" t="inlineStr">
        <is>
          <t>Fase 1</t>
        </is>
      </c>
      <c r="H65" s="398" t="inlineStr">
        <is>
          <t>Target curcumin &gt;3.5% untuk EU. Lab Sucofindo</t>
        </is>
      </c>
      <c r="I65" s="171" t="n"/>
      <c r="J65" s="172" t="n"/>
    </row>
    <row r="66" ht="20" customHeight="1">
      <c r="A66" s="439" t="inlineStr">
        <is>
          <t xml:space="preserve">  ▶ SUBTOTAL: PUPUK &amp; NUTRISI</t>
        </is>
      </c>
      <c r="B66" s="178" t="n"/>
      <c r="C66" s="178" t="n"/>
      <c r="D66" s="178" t="n"/>
      <c r="E66" s="178" t="n"/>
      <c r="F66" s="440" t="n">
        <v>15600000</v>
      </c>
      <c r="G66" s="441" t="n"/>
      <c r="H66" s="178" t="n"/>
      <c r="I66" s="178" t="n"/>
      <c r="J66" s="179" t="n"/>
    </row>
    <row r="67"/>
    <row r="68" ht="20" customHeight="1">
      <c r="A68" s="385" t="inlineStr">
        <is>
          <t xml:space="preserve">  E. ALAT PERTANIAN &amp; PERLENGKAPAN</t>
        </is>
      </c>
      <c r="B68" s="171" t="n"/>
      <c r="C68" s="171" t="n"/>
      <c r="D68" s="171" t="n"/>
      <c r="E68" s="171" t="n"/>
      <c r="F68" s="171" t="n"/>
      <c r="G68" s="171" t="n"/>
      <c r="H68" s="171" t="n"/>
      <c r="I68" s="171" t="n"/>
      <c r="J68" s="172" t="n"/>
    </row>
    <row r="69" ht="26" customHeight="1">
      <c r="A69" s="435" t="inlineStr">
        <is>
          <t>No</t>
        </is>
      </c>
      <c r="B69" s="436" t="inlineStr">
        <is>
          <t>Uraian Pekerjaan / Item</t>
        </is>
      </c>
      <c r="C69" s="437" t="inlineStr">
        <is>
          <t>Vol</t>
        </is>
      </c>
      <c r="D69" s="437" t="inlineStr">
        <is>
          <t>Sat</t>
        </is>
      </c>
      <c r="E69" s="437" t="inlineStr">
        <is>
          <t>Harga Sat (Rp)</t>
        </is>
      </c>
      <c r="F69" s="437" t="inlineStr">
        <is>
          <t>Total (Rp)</t>
        </is>
      </c>
      <c r="G69" s="437" t="inlineStr">
        <is>
          <t>Fase</t>
        </is>
      </c>
      <c r="H69" s="438" t="inlineStr">
        <is>
          <t>Keterangan</t>
        </is>
      </c>
      <c r="I69" s="178" t="n"/>
      <c r="J69" s="179" t="n"/>
    </row>
    <row r="70" ht="18" customHeight="1">
      <c r="A70" s="395" t="n">
        <v>1</v>
      </c>
      <c r="B70" s="396" t="inlineStr">
        <is>
          <t>Cangkul, sekop, garpu tanah (4 set)</t>
        </is>
      </c>
      <c r="C70" s="397" t="n">
        <v>4</v>
      </c>
      <c r="D70" s="395" t="inlineStr">
        <is>
          <t>set</t>
        </is>
      </c>
      <c r="E70" s="183" t="n">
        <v>120000</v>
      </c>
      <c r="F70" s="184" t="n">
        <v>480000</v>
      </c>
      <c r="G70" s="393" t="inlineStr">
        <is>
          <t>Fase 0</t>
        </is>
      </c>
      <c r="H70" s="398" t="n"/>
      <c r="I70" s="171" t="n"/>
      <c r="J70" s="172" t="n"/>
    </row>
    <row r="71" ht="18" customHeight="1">
      <c r="A71" s="187" t="n">
        <v>2</v>
      </c>
      <c r="B71" s="188" t="inlineStr">
        <is>
          <t>Knapsack sprayer 16L (2 unit)</t>
        </is>
      </c>
      <c r="C71" s="399" t="n">
        <v>2</v>
      </c>
      <c r="D71" s="187" t="inlineStr">
        <is>
          <t>unit</t>
        </is>
      </c>
      <c r="E71" s="183" t="n">
        <v>350000</v>
      </c>
      <c r="F71" s="184" t="n">
        <v>700000</v>
      </c>
      <c r="G71" s="400" t="inlineStr">
        <is>
          <t>Fase 1</t>
        </is>
      </c>
      <c r="H71" s="190" t="inlineStr">
        <is>
          <t>1 pupuk, 1 pestisida</t>
        </is>
      </c>
      <c r="I71" s="171" t="n"/>
      <c r="J71" s="172" t="n"/>
    </row>
    <row r="72" ht="18" customHeight="1">
      <c r="A72" s="395" t="n">
        <v>3</v>
      </c>
      <c r="B72" s="396" t="inlineStr">
        <is>
          <t>Timbangan digital 50kg</t>
        </is>
      </c>
      <c r="C72" s="397" t="n">
        <v>1</v>
      </c>
      <c r="D72" s="395" t="inlineStr">
        <is>
          <t>unit</t>
        </is>
      </c>
      <c r="E72" s="183" t="n">
        <v>450000</v>
      </c>
      <c r="F72" s="184" t="n">
        <v>450000</v>
      </c>
      <c r="G72" s="400" t="inlineStr">
        <is>
          <t>Fase 1</t>
        </is>
      </c>
      <c r="H72" s="398" t="inlineStr">
        <is>
          <t>Timbang hasil panen</t>
        </is>
      </c>
      <c r="I72" s="171" t="n"/>
      <c r="J72" s="172" t="n"/>
    </row>
    <row r="73" ht="18" customHeight="1">
      <c r="A73" s="187" t="n">
        <v>4</v>
      </c>
      <c r="B73" s="188" t="inlineStr">
        <is>
          <t>Karung panen 25kg &amp; 50kg</t>
        </is>
      </c>
      <c r="C73" s="399" t="n">
        <v>200</v>
      </c>
      <c r="D73" s="187" t="inlineStr">
        <is>
          <t>pcs</t>
        </is>
      </c>
      <c r="E73" s="183" t="n">
        <v>2500</v>
      </c>
      <c r="F73" s="184" t="n">
        <v>500000</v>
      </c>
      <c r="G73" s="400" t="inlineStr">
        <is>
          <t>Fase 1</t>
        </is>
      </c>
      <c r="H73" s="190" t="inlineStr">
        <is>
          <t>Restock tiap panen</t>
        </is>
      </c>
      <c r="I73" s="171" t="n"/>
      <c r="J73" s="172" t="n"/>
    </row>
    <row r="74" ht="18" customHeight="1">
      <c r="A74" s="395" t="n">
        <v>5</v>
      </c>
      <c r="B74" s="396" t="inlineStr">
        <is>
          <t>Keranjang plastik berlubang</t>
        </is>
      </c>
      <c r="C74" s="397" t="n">
        <v>20</v>
      </c>
      <c r="D74" s="395" t="inlineStr">
        <is>
          <t>pcs</t>
        </is>
      </c>
      <c r="E74" s="183" t="n">
        <v>25000</v>
      </c>
      <c r="F74" s="184" t="n">
        <v>500000</v>
      </c>
      <c r="G74" s="400" t="inlineStr">
        <is>
          <t>Fase 1</t>
        </is>
      </c>
      <c r="H74" s="398" t="inlineStr">
        <is>
          <t>Sortasi lapang</t>
        </is>
      </c>
      <c r="I74" s="171" t="n"/>
      <c r="J74" s="172" t="n"/>
    </row>
    <row r="75" ht="18" customHeight="1">
      <c r="A75" s="187" t="n">
        <v>6</v>
      </c>
      <c r="B75" s="188" t="inlineStr">
        <is>
          <t>APD: sepatu boot, sarung tangan, masker</t>
        </is>
      </c>
      <c r="C75" s="399" t="n">
        <v>4</v>
      </c>
      <c r="D75" s="187" t="inlineStr">
        <is>
          <t>set</t>
        </is>
      </c>
      <c r="E75" s="183" t="n">
        <v>100000</v>
      </c>
      <c r="F75" s="184" t="n">
        <v>400000</v>
      </c>
      <c r="G75" s="400" t="inlineStr">
        <is>
          <t>Fase 1</t>
        </is>
      </c>
      <c r="H75" s="190" t="inlineStr">
        <is>
          <t>Keselamatan kerja</t>
        </is>
      </c>
      <c r="I75" s="171" t="n"/>
      <c r="J75" s="172" t="n"/>
    </row>
    <row r="76" ht="18" customHeight="1">
      <c r="A76" s="395" t="n">
        <v>7</v>
      </c>
      <c r="B76" s="396" t="inlineStr">
        <is>
          <t>Mesin grinder kunyit kering (Fase 2)</t>
        </is>
      </c>
      <c r="C76" s="397" t="n">
        <v>1</v>
      </c>
      <c r="D76" s="395" t="inlineStr">
        <is>
          <t>unit</t>
        </is>
      </c>
      <c r="E76" s="183" t="n">
        <v>2500000</v>
      </c>
      <c r="F76" s="184" t="n">
        <v>2500000</v>
      </c>
      <c r="G76" s="443" t="inlineStr">
        <is>
          <t>Fase 2</t>
        </is>
      </c>
      <c r="H76" s="398" t="inlineStr">
        <is>
          <t>Untuk produk powder. Nilai jual lebih tinggi</t>
        </is>
      </c>
      <c r="I76" s="171" t="n"/>
      <c r="J76" s="172" t="n"/>
    </row>
    <row r="77" ht="20" customHeight="1">
      <c r="A77" s="439" t="inlineStr">
        <is>
          <t xml:space="preserve">  ▶ SUBTOTAL: ALAT &amp; PERLENGKAPAN</t>
        </is>
      </c>
      <c r="B77" s="178" t="n"/>
      <c r="C77" s="178" t="n"/>
      <c r="D77" s="178" t="n"/>
      <c r="E77" s="178" t="n"/>
      <c r="F77" s="440" t="n">
        <v>5530000</v>
      </c>
      <c r="G77" s="441" t="n"/>
      <c r="H77" s="178" t="n"/>
      <c r="I77" s="178" t="n"/>
      <c r="J77" s="179" t="n"/>
    </row>
    <row r="78"/>
    <row r="79" ht="20" customHeight="1">
      <c r="A79" s="385" t="inlineStr">
        <is>
          <t xml:space="preserve">  F. TENAGA KERJA LOKAL — SISTEM GAJI ADVANCE (dipotong dari porsi 40% saat panen)</t>
        </is>
      </c>
      <c r="B79" s="171" t="n"/>
      <c r="C79" s="171" t="n"/>
      <c r="D79" s="171" t="n"/>
      <c r="E79" s="171" t="n"/>
      <c r="F79" s="171" t="n"/>
      <c r="G79" s="171" t="n"/>
      <c r="H79" s="171" t="n"/>
      <c r="I79" s="171" t="n"/>
      <c r="J79" s="172" t="n"/>
    </row>
    <row r="80" ht="30" customHeight="1">
      <c r="A80" s="408" t="inlineStr">
        <is>
          <t xml:space="preserve">  ⚠️  SEMUA gaji di bawah ini = ADVANCE PAYMENT. Dibayar selama masa tanam dari modal yayasan. Total advance Rp 44,300,000 akan dipotong dari porsi 40% (= Rp 136,000,000) saat panen. Bonus panen per kelompok tenaga = Rp 91,700,000</t>
        </is>
      </c>
      <c r="B80" s="171" t="n"/>
      <c r="C80" s="171" t="n"/>
      <c r="D80" s="171" t="n"/>
      <c r="E80" s="171" t="n"/>
      <c r="F80" s="171" t="n"/>
      <c r="G80" s="171" t="n"/>
      <c r="H80" s="171" t="n"/>
      <c r="I80" s="171" t="n"/>
      <c r="J80" s="172" t="n"/>
    </row>
    <row r="81" ht="26" customHeight="1">
      <c r="A81" s="435" t="inlineStr">
        <is>
          <t>No</t>
        </is>
      </c>
      <c r="B81" s="436" t="inlineStr">
        <is>
          <t>Uraian Pekerjaan / Item</t>
        </is>
      </c>
      <c r="C81" s="437" t="inlineStr">
        <is>
          <t>Vol</t>
        </is>
      </c>
      <c r="D81" s="437" t="inlineStr">
        <is>
          <t>Sat</t>
        </is>
      </c>
      <c r="E81" s="437" t="inlineStr">
        <is>
          <t>Harga Sat (Rp)</t>
        </is>
      </c>
      <c r="F81" s="437" t="inlineStr">
        <is>
          <t>Total (Rp)</t>
        </is>
      </c>
      <c r="G81" s="437" t="inlineStr">
        <is>
          <t>Fase</t>
        </is>
      </c>
      <c r="H81" s="438" t="inlineStr">
        <is>
          <t>Keterangan</t>
        </is>
      </c>
      <c r="I81" s="178" t="n"/>
      <c r="J81" s="179" t="n"/>
    </row>
    <row r="82" ht="18" customHeight="1">
      <c r="A82" s="395" t="n">
        <v>1</v>
      </c>
      <c r="B82" s="442" t="inlineStr">
        <is>
          <t>Penanaman (6 org × 5 hari — 60k bibit)</t>
        </is>
      </c>
      <c r="C82" s="397" t="n">
        <v>30</v>
      </c>
      <c r="D82" s="395" t="inlineStr">
        <is>
          <t>HOK</t>
        </is>
      </c>
      <c r="E82" s="183" t="n">
        <v>150000</v>
      </c>
      <c r="F82" s="401" t="n">
        <v>4500000</v>
      </c>
      <c r="G82" s="400" t="inlineStr">
        <is>
          <t>Fase 1</t>
        </is>
      </c>
      <c r="H82" s="398" t="inlineStr">
        <is>
          <t>ADVANCE. Lebih banyak karena jarak tanam rapat</t>
        </is>
      </c>
      <c r="I82" s="171" t="n"/>
      <c r="J82" s="172" t="n"/>
    </row>
    <row r="83" ht="18" customHeight="1">
      <c r="A83" s="187" t="n">
        <v>2</v>
      </c>
      <c r="B83" s="409" t="inlineStr">
        <is>
          <t>Perawatan harian — 2 org × 8 bln</t>
        </is>
      </c>
      <c r="C83" s="399" t="n">
        <v>2</v>
      </c>
      <c r="D83" s="187" t="inlineStr">
        <is>
          <t>org/bln</t>
        </is>
      </c>
      <c r="E83" s="183" t="n">
        <v>1800000</v>
      </c>
      <c r="F83" s="401" t="n">
        <v>28800000</v>
      </c>
      <c r="G83" s="406" t="inlineStr">
        <is>
          <t>Rutin</t>
        </is>
      </c>
      <c r="H83" s="190" t="inlineStr">
        <is>
          <t>ADVANCE. Kunyit relatif lebih mudah rawat</t>
        </is>
      </c>
      <c r="I83" s="171" t="n"/>
      <c r="J83" s="172" t="n"/>
    </row>
    <row r="84" ht="18" customHeight="1">
      <c r="A84" s="395" t="n">
        <v>3</v>
      </c>
      <c r="B84" s="396" t="inlineStr">
        <is>
          <t>Koordinator lahan (10 bln)</t>
        </is>
      </c>
      <c r="C84" s="397" t="n">
        <v>10</v>
      </c>
      <c r="D84" s="395" t="inlineStr">
        <is>
          <t>bln</t>
        </is>
      </c>
      <c r="E84" s="183" t="n">
        <v>500000</v>
      </c>
      <c r="F84" s="401" t="n">
        <v>5000000</v>
      </c>
      <c r="G84" s="406" t="inlineStr">
        <is>
          <t>Rutin</t>
        </is>
      </c>
      <c r="H84" s="398" t="inlineStr">
        <is>
          <t>ADVANCE. Monitor warna &amp; curcumin rimpang</t>
        </is>
      </c>
      <c r="I84" s="171" t="n"/>
      <c r="J84" s="172" t="n"/>
    </row>
    <row r="85" ht="18" customHeight="1">
      <c r="A85" s="187" t="n">
        <v>4</v>
      </c>
      <c r="B85" s="409" t="inlineStr">
        <is>
          <t>Panen &amp; cuci lumpur (10 org × 4 hari)</t>
        </is>
      </c>
      <c r="C85" s="399" t="n">
        <v>40</v>
      </c>
      <c r="D85" s="187" t="inlineStr">
        <is>
          <t>HOK</t>
        </is>
      </c>
      <c r="E85" s="183" t="n">
        <v>150000</v>
      </c>
      <c r="F85" s="401" t="n">
        <v>6000000</v>
      </c>
      <c r="G85" s="400" t="inlineStr">
        <is>
          <t>Fase 1</t>
        </is>
      </c>
      <c r="H85" s="190" t="inlineStr">
        <is>
          <t>ADVANCE. Kunyit dalam &amp; banyak lumpur</t>
        </is>
      </c>
      <c r="I85" s="171" t="n"/>
      <c r="J85" s="172" t="n"/>
    </row>
    <row r="86" ht="20" customHeight="1">
      <c r="A86" s="410" t="inlineStr">
        <is>
          <t xml:space="preserve">  ▶ TOTAL ADVANCE GAJI (dibayar selama masa tanam)</t>
        </is>
      </c>
      <c r="B86" s="178" t="n"/>
      <c r="C86" s="178" t="n"/>
      <c r="D86" s="178" t="n"/>
      <c r="E86" s="178" t="n"/>
      <c r="F86" s="411" t="n">
        <v>44300000</v>
      </c>
      <c r="G86" s="412" t="inlineStr">
        <is>
          <t>Dipotong dari Porsi 40% = Rp 136,000,000. Sisa bonus tunai = Rp 91,700,000</t>
        </is>
      </c>
      <c r="H86" s="178" t="n"/>
      <c r="I86" s="178" t="n"/>
      <c r="J86" s="179" t="n"/>
    </row>
    <row r="87"/>
    <row r="88" ht="20" customHeight="1">
      <c r="A88" s="385" t="inlineStr">
        <is>
          <t xml:space="preserve">  G. PASCA PANEN, PENGOLAHAN &amp; PERSIAPAN EKSPOR</t>
        </is>
      </c>
      <c r="B88" s="171" t="n"/>
      <c r="C88" s="171" t="n"/>
      <c r="D88" s="171" t="n"/>
      <c r="E88" s="171" t="n"/>
      <c r="F88" s="171" t="n"/>
      <c r="G88" s="171" t="n"/>
      <c r="H88" s="171" t="n"/>
      <c r="I88" s="171" t="n"/>
      <c r="J88" s="172" t="n"/>
    </row>
    <row r="89" ht="26" customHeight="1">
      <c r="A89" s="435" t="inlineStr">
        <is>
          <t>No</t>
        </is>
      </c>
      <c r="B89" s="436" t="inlineStr">
        <is>
          <t>Uraian Pekerjaan / Item</t>
        </is>
      </c>
      <c r="C89" s="437" t="inlineStr">
        <is>
          <t>Vol</t>
        </is>
      </c>
      <c r="D89" s="437" t="inlineStr">
        <is>
          <t>Sat</t>
        </is>
      </c>
      <c r="E89" s="437" t="inlineStr">
        <is>
          <t>Harga Sat (Rp)</t>
        </is>
      </c>
      <c r="F89" s="437" t="inlineStr">
        <is>
          <t>Total (Rp)</t>
        </is>
      </c>
      <c r="G89" s="437" t="inlineStr">
        <is>
          <t>Fase</t>
        </is>
      </c>
      <c r="H89" s="438" t="inlineStr">
        <is>
          <t>Keterangan</t>
        </is>
      </c>
      <c r="I89" s="178" t="n"/>
      <c r="J89" s="179" t="n"/>
    </row>
    <row r="90" ht="18" customHeight="1">
      <c r="A90" s="395" t="n">
        <v>1</v>
      </c>
      <c r="B90" s="396" t="inlineStr">
        <is>
          <t>Pengeringan slice kunyit (55°C, 12 jam)</t>
        </is>
      </c>
      <c r="C90" s="397" t="n">
        <v>1</v>
      </c>
      <c r="D90" s="395" t="inlineStr">
        <is>
          <t>paket</t>
        </is>
      </c>
      <c r="E90" s="183" t="n">
        <v>4000000</v>
      </c>
      <c r="F90" s="184" t="n">
        <v>4000000</v>
      </c>
      <c r="G90" s="400" t="inlineStr">
        <is>
          <t>Fase 1</t>
        </is>
      </c>
      <c r="H90" s="398" t="inlineStr">
        <is>
          <t>15 ton segar → ~3.5 ton kering (rasio 4:1)</t>
        </is>
      </c>
      <c r="I90" s="171" t="n"/>
      <c r="J90" s="172" t="n"/>
    </row>
    <row r="91" ht="18" customHeight="1">
      <c r="A91" s="187" t="n">
        <v>2</v>
      </c>
      <c r="B91" s="188" t="inlineStr">
        <is>
          <t>Uji curcumin content (SGS/Sucofindo)</t>
        </is>
      </c>
      <c r="C91" s="399" t="n">
        <v>3</v>
      </c>
      <c r="D91" s="187" t="inlineStr">
        <is>
          <t>sampel</t>
        </is>
      </c>
      <c r="E91" s="183" t="n">
        <v>750000</v>
      </c>
      <c r="F91" s="184" t="n">
        <v>2250000</v>
      </c>
      <c r="G91" s="400" t="inlineStr">
        <is>
          <t>Fase 1</t>
        </is>
      </c>
      <c r="H91" s="190" t="inlineStr">
        <is>
          <t>&gt;3.5% EU, &gt;5% Japan premium</t>
        </is>
      </c>
      <c r="I91" s="171" t="n"/>
      <c r="J91" s="172" t="n"/>
    </row>
    <row r="92" ht="18" customHeight="1">
      <c r="A92" s="395" t="n">
        <v>3</v>
      </c>
      <c r="B92" s="396" t="inlineStr">
        <is>
          <t>Phytosanitary certificate</t>
        </is>
      </c>
      <c r="C92" s="397" t="n">
        <v>1</v>
      </c>
      <c r="D92" s="395" t="inlineStr">
        <is>
          <t>sertifikat</t>
        </is>
      </c>
      <c r="E92" s="183" t="n">
        <v>1500000</v>
      </c>
      <c r="F92" s="184" t="n">
        <v>1500000</v>
      </c>
      <c r="G92" s="400" t="inlineStr">
        <is>
          <t>Fase 1</t>
        </is>
      </c>
      <c r="H92" s="398" t="n"/>
      <c r="I92" s="171" t="n"/>
      <c r="J92" s="172" t="n"/>
    </row>
    <row r="93" ht="18" customHeight="1">
      <c r="A93" s="187" t="n">
        <v>4</v>
      </c>
      <c r="B93" s="188" t="inlineStr">
        <is>
          <t>Packaging + label curcumin %</t>
        </is>
      </c>
      <c r="C93" s="399" t="n">
        <v>140</v>
      </c>
      <c r="D93" s="187" t="inlineStr">
        <is>
          <t>karung</t>
        </is>
      </c>
      <c r="E93" s="183" t="n">
        <v>6000</v>
      </c>
      <c r="F93" s="184" t="n">
        <v>840000</v>
      </c>
      <c r="G93" s="400" t="inlineStr">
        <is>
          <t>Fase 1</t>
        </is>
      </c>
      <c r="H93" s="190" t="inlineStr">
        <is>
          <t>3.5 ton = 140 karung 25kg</t>
        </is>
      </c>
      <c r="I93" s="171" t="n"/>
      <c r="J93" s="172" t="n"/>
    </row>
    <row r="94" ht="18" customHeight="1">
      <c r="A94" s="395" t="n">
        <v>5</v>
      </c>
      <c r="B94" s="396" t="inlineStr">
        <is>
          <t>Freight ke pelabuhan</t>
        </is>
      </c>
      <c r="C94" s="397" t="n">
        <v>1</v>
      </c>
      <c r="D94" s="395" t="inlineStr">
        <is>
          <t>paket</t>
        </is>
      </c>
      <c r="E94" s="183" t="n">
        <v>5000000</v>
      </c>
      <c r="F94" s="184" t="n">
        <v>5000000</v>
      </c>
      <c r="G94" s="400" t="inlineStr">
        <is>
          <t>Fase 1</t>
        </is>
      </c>
      <c r="H94" s="398" t="inlineStr">
        <is>
          <t>Bisa LCL gabung komoditi lain</t>
        </is>
      </c>
      <c r="I94" s="171" t="n"/>
      <c r="J94" s="172" t="n"/>
    </row>
    <row r="95" ht="20" customHeight="1">
      <c r="A95" s="439" t="inlineStr">
        <is>
          <t xml:space="preserve">  ▶ SUBTOTAL: PASCA PANEN &amp; EKSPOR</t>
        </is>
      </c>
      <c r="B95" s="178" t="n"/>
      <c r="C95" s="178" t="n"/>
      <c r="D95" s="178" t="n"/>
      <c r="E95" s="178" t="n"/>
      <c r="F95" s="440" t="n">
        <v>13590000</v>
      </c>
      <c r="G95" s="441" t="n"/>
      <c r="H95" s="178" t="n"/>
      <c r="I95" s="178" t="n"/>
      <c r="J95" s="179" t="n"/>
    </row>
    <row r="96"/>
    <row r="97" ht="34" customHeight="1">
      <c r="A97" s="444" t="inlineStr">
        <is>
          <t xml:space="preserve">  🏆 GRAND TOTAL INVESTASI — KUNYIT 1 HA</t>
        </is>
      </c>
      <c r="B97" s="200" t="n"/>
      <c r="C97" s="200" t="n"/>
      <c r="D97" s="200" t="n"/>
      <c r="E97" s="200" t="n"/>
      <c r="F97" s="445" t="n">
        <v>228965000</v>
      </c>
      <c r="G97" s="446" t="inlineStr">
        <is>
          <t>ROI Donatur: 14.8% | Bonus Tenaga: Rp 91,700,000 | Anak Binaan: Rp 10,200,000</t>
        </is>
      </c>
      <c r="H97" s="200" t="n"/>
      <c r="I97" s="200" t="n"/>
      <c r="J97" s="203" t="n"/>
    </row>
    <row r="98"/>
    <row r="99">
      <c r="A99" s="416" t="inlineStr">
        <is>
          <t xml:space="preserve">  🌏 EKSPOR &amp; STANDAR KUALITAS</t>
        </is>
      </c>
      <c r="B99" s="171" t="n"/>
      <c r="C99" s="171" t="n"/>
      <c r="D99" s="171" t="n"/>
      <c r="E99" s="171" t="n"/>
      <c r="F99" s="171" t="n"/>
      <c r="G99" s="171" t="n"/>
      <c r="H99" s="171" t="n"/>
      <c r="I99" s="171" t="n"/>
      <c r="J99" s="172" t="n"/>
    </row>
    <row r="100" ht="52" customHeight="1">
      <c r="A100" s="417" t="inlineStr">
        <is>
          <t>KUNYIT | Curcumin &gt;3.5% (EU), &gt;5% (Japan premium), kadar air &lt;10% | Harga FOB USD 400–700/ton = Rp 25.000–45.000/kg
Target: India (Ayurveda), EU (nutraceutical), USA (food additive) | Demand naik 8%/thn karena tren kesehatan global</t>
        </is>
      </c>
      <c r="B100" s="171" t="n"/>
      <c r="C100" s="171" t="n"/>
      <c r="D100" s="171" t="n"/>
      <c r="E100" s="171" t="n"/>
      <c r="F100" s="171" t="n"/>
      <c r="G100" s="171" t="n"/>
      <c r="H100" s="171" t="n"/>
      <c r="I100" s="171" t="n"/>
      <c r="J100" s="172" t="n"/>
    </row>
  </sheetData>
  <mergeCells count="108">
    <mergeCell ref="A17:G17"/>
    <mergeCell ref="G55:J55"/>
    <mergeCell ref="H17:J17"/>
    <mergeCell ref="H69:J69"/>
    <mergeCell ref="H11:J11"/>
    <mergeCell ref="A9:G9"/>
    <mergeCell ref="H84:J84"/>
    <mergeCell ref="H22:J22"/>
    <mergeCell ref="H75:J75"/>
    <mergeCell ref="A11:G11"/>
    <mergeCell ref="H5:J5"/>
    <mergeCell ref="H92:J92"/>
    <mergeCell ref="H29:J29"/>
    <mergeCell ref="G66:J66"/>
    <mergeCell ref="H44:J44"/>
    <mergeCell ref="H58:J58"/>
    <mergeCell ref="H64:J64"/>
    <mergeCell ref="H21:J21"/>
    <mergeCell ref="H73:J73"/>
    <mergeCell ref="A77:E77"/>
    <mergeCell ref="H51:J51"/>
    <mergeCell ref="A32:J32"/>
    <mergeCell ref="H60:J60"/>
    <mergeCell ref="A8:G8"/>
    <mergeCell ref="A4:J4"/>
    <mergeCell ref="H7:J7"/>
    <mergeCell ref="H16:J16"/>
    <mergeCell ref="A40:J40"/>
    <mergeCell ref="H27:J27"/>
    <mergeCell ref="G77:J77"/>
    <mergeCell ref="G86:J86"/>
    <mergeCell ref="H33:J33"/>
    <mergeCell ref="A55:E55"/>
    <mergeCell ref="H42:J42"/>
    <mergeCell ref="A95:E95"/>
    <mergeCell ref="G97:J97"/>
    <mergeCell ref="G38:J38"/>
    <mergeCell ref="H35:J35"/>
    <mergeCell ref="A97:E97"/>
    <mergeCell ref="A38:E38"/>
    <mergeCell ref="A12:G12"/>
    <mergeCell ref="A2:J2"/>
    <mergeCell ref="H59:J59"/>
    <mergeCell ref="A5:G5"/>
    <mergeCell ref="A14:G14"/>
    <mergeCell ref="H46:J46"/>
    <mergeCell ref="H89:J89"/>
    <mergeCell ref="H25:J25"/>
    <mergeCell ref="H52:J52"/>
    <mergeCell ref="H61:J61"/>
    <mergeCell ref="A20:J20"/>
    <mergeCell ref="H70:J70"/>
    <mergeCell ref="H45:J45"/>
    <mergeCell ref="H81:J81"/>
    <mergeCell ref="H90:J90"/>
    <mergeCell ref="H13:J13"/>
    <mergeCell ref="H65:J65"/>
    <mergeCell ref="H47:J47"/>
    <mergeCell ref="A66:E66"/>
    <mergeCell ref="H15:J15"/>
    <mergeCell ref="H71:J71"/>
    <mergeCell ref="H24:J24"/>
    <mergeCell ref="A79:J79"/>
    <mergeCell ref="H18:J18"/>
    <mergeCell ref="H76:J76"/>
    <mergeCell ref="A86:E86"/>
    <mergeCell ref="A88:J88"/>
    <mergeCell ref="H8:J8"/>
    <mergeCell ref="A16:G16"/>
    <mergeCell ref="H26:J26"/>
    <mergeCell ref="H82:J82"/>
    <mergeCell ref="H53:J53"/>
    <mergeCell ref="A41:J41"/>
    <mergeCell ref="A99:J99"/>
    <mergeCell ref="H63:J63"/>
    <mergeCell ref="A18:G18"/>
    <mergeCell ref="H50:J50"/>
    <mergeCell ref="H34:J34"/>
    <mergeCell ref="H9:J9"/>
    <mergeCell ref="G95:J95"/>
    <mergeCell ref="A30:E30"/>
    <mergeCell ref="H49:J49"/>
    <mergeCell ref="H36:J36"/>
    <mergeCell ref="H85:J85"/>
    <mergeCell ref="H94:J94"/>
    <mergeCell ref="A100:J100"/>
    <mergeCell ref="A68:J68"/>
    <mergeCell ref="A13:G13"/>
    <mergeCell ref="H72:J72"/>
    <mergeCell ref="H28:J28"/>
    <mergeCell ref="H37:J37"/>
    <mergeCell ref="H12:J12"/>
    <mergeCell ref="A15:G15"/>
    <mergeCell ref="H48:J48"/>
    <mergeCell ref="A1:J1"/>
    <mergeCell ref="H62:J62"/>
    <mergeCell ref="H14:J14"/>
    <mergeCell ref="H23:J23"/>
    <mergeCell ref="A7:G7"/>
    <mergeCell ref="H91:J91"/>
    <mergeCell ref="H43:J43"/>
    <mergeCell ref="A80:J80"/>
    <mergeCell ref="H54:J54"/>
    <mergeCell ref="H93:J93"/>
    <mergeCell ref="G30:J30"/>
    <mergeCell ref="A57:J57"/>
    <mergeCell ref="H74:J74"/>
    <mergeCell ref="H83:J8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447" t="inlineStr">
        <is>
          <t>🌶️ PAKET INVESTASI — CABAI MERAH BESAR 1 HA  |  3–4 Bulan (panen 20× bertahap)</t>
        </is>
      </c>
    </row>
    <row r="2" ht="18" customHeight="1">
      <c r="A2" s="169" t="inlineStr">
        <is>
          <t>Hasil estimasi: 17,500 kg/ha  ·  Lokal Rp 25,000/kg  ·  Ekspor Rp 120,000/kg  ·  Target: Malaysia, Singapura, Timur Tengah</t>
        </is>
      </c>
    </row>
    <row r="3"/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48" t="inlineStr">
        <is>
          <t xml:space="preserve">  MODAL INVESTASI TOTAL</t>
        </is>
      </c>
      <c r="B5" s="171" t="n"/>
      <c r="C5" s="171" t="n"/>
      <c r="D5" s="171" t="n"/>
      <c r="E5" s="171" t="n"/>
      <c r="F5" s="171" t="n"/>
      <c r="G5" s="171" t="n"/>
      <c r="H5" s="449" t="n">
        <v>195500000</v>
      </c>
      <c r="I5" s="171" t="n"/>
      <c r="J5" s="172" t="n"/>
    </row>
    <row r="6"/>
    <row r="7" ht="20" customHeight="1">
      <c r="A7" s="364" t="inlineStr">
        <is>
          <t xml:space="preserve">  Est. Revenue Bruto (Mix 30/70 Lokal/Ekspor)</t>
        </is>
      </c>
      <c r="B7" s="171" t="n"/>
      <c r="C7" s="171" t="n"/>
      <c r="D7" s="171" t="n"/>
      <c r="E7" s="171" t="n"/>
      <c r="F7" s="171" t="n"/>
      <c r="G7" s="171" t="n"/>
      <c r="H7" s="365" t="n">
        <v>1601250000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20,000,000)</t>
        </is>
      </c>
      <c r="I8" s="171" t="n"/>
      <c r="J8" s="172" t="n"/>
    </row>
    <row r="9" ht="20" customHeight="1">
      <c r="A9" s="368" t="inlineStr">
        <is>
          <t xml:space="preserve">  SISA BERSIH (DASAR BAGI HASIL)</t>
        </is>
      </c>
      <c r="B9" s="171" t="n"/>
      <c r="C9" s="171" t="n"/>
      <c r="D9" s="171" t="n"/>
      <c r="E9" s="171" t="n"/>
      <c r="F9" s="171" t="n"/>
      <c r="G9" s="171" t="n"/>
      <c r="H9" s="369" t="n">
        <v>1581250000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632500000</v>
      </c>
      <c r="I11" s="171" t="n"/>
      <c r="J11" s="172" t="n"/>
    </row>
    <row r="12" ht="20" customHeight="1">
      <c r="A12" s="372" t="inlineStr">
        <is>
          <t xml:space="preserve">  💰 Donatur 10%</t>
        </is>
      </c>
      <c r="B12" s="171" t="n"/>
      <c r="C12" s="171" t="n"/>
      <c r="D12" s="171" t="n"/>
      <c r="E12" s="171" t="n"/>
      <c r="F12" s="171" t="n"/>
      <c r="G12" s="171" t="n"/>
      <c r="H12" s="373" t="n">
        <v>158125000</v>
      </c>
      <c r="I12" s="171" t="n"/>
      <c r="J12" s="172" t="n"/>
    </row>
    <row r="13" ht="20" customHeight="1">
      <c r="A13" s="374" t="inlineStr">
        <is>
          <t xml:space="preserve">    → ROI Donatur</t>
        </is>
      </c>
      <c r="B13" s="171" t="n"/>
      <c r="C13" s="171" t="n"/>
      <c r="D13" s="171" t="n"/>
      <c r="E13" s="171" t="n"/>
      <c r="F13" s="171" t="n"/>
      <c r="G13" s="171" t="n"/>
      <c r="H13" s="375" t="inlineStr">
        <is>
          <t>80.9%</t>
        </is>
      </c>
      <c r="I13" s="171" t="n"/>
      <c r="J13" s="172" t="n"/>
    </row>
    <row r="14" ht="20" customHeight="1">
      <c r="A14" s="366" t="inlineStr">
        <is>
          <t xml:space="preserve">  👷 Tenaga Lokal 40%</t>
        </is>
      </c>
      <c r="B14" s="171" t="n"/>
      <c r="C14" s="171" t="n"/>
      <c r="D14" s="171" t="n"/>
      <c r="E14" s="171" t="n"/>
      <c r="F14" s="171" t="n"/>
      <c r="G14" s="171" t="n"/>
      <c r="H14" s="376" t="n">
        <v>632500000</v>
      </c>
      <c r="I14" s="171" t="n"/>
      <c r="J14" s="172" t="n"/>
    </row>
    <row r="15" ht="20" customHeight="1">
      <c r="A15" s="377" t="inlineStr">
        <is>
          <t xml:space="preserve">    → Sudah dibayar advance (gaji selama tanam)</t>
        </is>
      </c>
      <c r="B15" s="171" t="n"/>
      <c r="C15" s="171" t="n"/>
      <c r="D15" s="171" t="n"/>
      <c r="E15" s="171" t="n"/>
      <c r="F15" s="171" t="n"/>
      <c r="G15" s="171" t="n"/>
      <c r="H15" s="378" t="inlineStr">
        <is>
          <t>(Rp 46,300,000)</t>
        </is>
      </c>
      <c r="I15" s="171" t="n"/>
      <c r="J15" s="172" t="n"/>
    </row>
    <row r="16" ht="20" customHeight="1">
      <c r="A16" s="379" t="inlineStr">
        <is>
          <t xml:space="preserve">    → BONUS PANEN (terima tunai saat panen)</t>
        </is>
      </c>
      <c r="B16" s="171" t="n"/>
      <c r="C16" s="171" t="n"/>
      <c r="D16" s="171" t="n"/>
      <c r="E16" s="171" t="n"/>
      <c r="F16" s="171" t="n"/>
      <c r="G16" s="171" t="n"/>
      <c r="H16" s="380" t="n">
        <v>586200000</v>
      </c>
      <c r="I16" s="171" t="n"/>
      <c r="J16" s="172" t="n"/>
    </row>
    <row r="17" ht="20" customHeight="1">
      <c r="A17" s="381" t="inlineStr">
        <is>
          <t xml:space="preserve">  👦 Anak Binaan avg 3%</t>
        </is>
      </c>
      <c r="B17" s="171" t="n"/>
      <c r="C17" s="171" t="n"/>
      <c r="D17" s="171" t="n"/>
      <c r="E17" s="171" t="n"/>
      <c r="F17" s="171" t="n"/>
      <c r="G17" s="171" t="n"/>
      <c r="H17" s="382" t="n">
        <v>47437500</v>
      </c>
      <c r="I17" s="171" t="n"/>
      <c r="J17" s="172" t="n"/>
    </row>
    <row r="18" ht="20" customHeight="1">
      <c r="A18" s="383" t="inlineStr">
        <is>
          <t xml:space="preserve">  🎯 Fee Manajemen 10%</t>
        </is>
      </c>
      <c r="B18" s="171" t="n"/>
      <c r="C18" s="171" t="n"/>
      <c r="D18" s="171" t="n"/>
      <c r="E18" s="171" t="n"/>
      <c r="F18" s="171" t="n"/>
      <c r="G18" s="171" t="n"/>
      <c r="H18" s="384" t="n">
        <v>158125000</v>
      </c>
      <c r="I18" s="171" t="n"/>
      <c r="J18" s="172" t="n"/>
    </row>
    <row r="19"/>
    <row r="20" ht="20" customHeight="1">
      <c r="A20" s="385" t="inlineStr">
        <is>
          <t xml:space="preserve">  A. PERSIAPAN &amp; PENGOLAHAN LAHAN (sama semua komoditi)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26" customHeight="1">
      <c r="A21" s="450" t="inlineStr">
        <is>
          <t>No</t>
        </is>
      </c>
      <c r="B21" s="451" t="inlineStr">
        <is>
          <t>Uraian Pekerjaan / Item</t>
        </is>
      </c>
      <c r="C21" s="452" t="inlineStr">
        <is>
          <t>Vol</t>
        </is>
      </c>
      <c r="D21" s="452" t="inlineStr">
        <is>
          <t>Sat</t>
        </is>
      </c>
      <c r="E21" s="452" t="inlineStr">
        <is>
          <t>Harga Sat (Rp)</t>
        </is>
      </c>
      <c r="F21" s="452" t="inlineStr">
        <is>
          <t>Total (Rp)</t>
        </is>
      </c>
      <c r="G21" s="452" t="inlineStr">
        <is>
          <t>Fase</t>
        </is>
      </c>
      <c r="H21" s="453" t="inlineStr">
        <is>
          <t>Keterangan</t>
        </is>
      </c>
      <c r="I21" s="178" t="n"/>
      <c r="J21" s="179" t="n"/>
    </row>
    <row r="22" ht="18" customHeight="1">
      <c r="A22" s="390" t="n">
        <v>1</v>
      </c>
      <c r="B22" s="391" t="inlineStr">
        <is>
          <t>Survei &amp; analisa tanah (pH, NPK, tekstur)</t>
        </is>
      </c>
      <c r="C22" s="392" t="n">
        <v>1</v>
      </c>
      <c r="D22" s="390" t="inlineStr">
        <is>
          <t>paket</t>
        </is>
      </c>
      <c r="E22" s="183" t="n">
        <v>1500000</v>
      </c>
      <c r="F22" s="184" t="n">
        <v>1500000</v>
      </c>
      <c r="G22" s="393" t="inlineStr">
        <is>
          <t>Fase 0</t>
        </is>
      </c>
      <c r="H22" s="394" t="inlineStr">
        <is>
          <t>Balai Pertanian setempat. pH target 6.0–6.5 untuk semua rempah</t>
        </is>
      </c>
      <c r="I22" s="171" t="n"/>
      <c r="J22" s="172" t="n"/>
    </row>
    <row r="23" ht="18" customHeight="1">
      <c r="A23" s="395" t="n">
        <v>2</v>
      </c>
      <c r="B23" s="396" t="inlineStr">
        <is>
          <t>Pembersihan lahan (babat, cabut tunggul)</t>
        </is>
      </c>
      <c r="C23" s="397" t="n">
        <v>10000</v>
      </c>
      <c r="D23" s="395" t="inlineStr">
        <is>
          <t>m²</t>
        </is>
      </c>
      <c r="E23" s="183" t="n">
        <v>500</v>
      </c>
      <c r="F23" s="184" t="n">
        <v>5000000</v>
      </c>
      <c r="G23" s="393" t="inlineStr">
        <is>
          <t>Fase 0</t>
        </is>
      </c>
      <c r="H23" s="398" t="inlineStr">
        <is>
          <t>3 pekerja lokal × 10 hari × Rp 150.000. Prioritas warga sekitar yayasan</t>
        </is>
      </c>
      <c r="I23" s="171" t="n"/>
      <c r="J23" s="172" t="n"/>
    </row>
    <row r="24" ht="18" customHeight="1">
      <c r="A24" s="390" t="n">
        <v>3</v>
      </c>
      <c r="B24" s="391" t="inlineStr">
        <is>
          <t>Pengolahan tanah — bajak 2× (mini traktor)</t>
        </is>
      </c>
      <c r="C24" s="392" t="n">
        <v>10000</v>
      </c>
      <c r="D24" s="390" t="inlineStr">
        <is>
          <t>m²</t>
        </is>
      </c>
      <c r="E24" s="183" t="n">
        <v>800</v>
      </c>
      <c r="F24" s="184" t="n">
        <v>8000000</v>
      </c>
      <c r="G24" s="393" t="inlineStr">
        <is>
          <t>Fase 0</t>
        </is>
      </c>
      <c r="H24" s="394" t="inlineStr">
        <is>
          <t>Sewa traktor lokal. Kedalaman 30cm, buat struktur tanah gembur</t>
        </is>
      </c>
      <c r="I24" s="171" t="n"/>
      <c r="J24" s="172" t="n"/>
    </row>
    <row r="25" ht="18" customHeight="1">
      <c r="A25" s="187" t="n">
        <v>4</v>
      </c>
      <c r="B25" s="188" t="inlineStr">
        <is>
          <t>Aplikasi kapur dolomit (naikkan pH)</t>
        </is>
      </c>
      <c r="C25" s="399" t="n">
        <v>2000</v>
      </c>
      <c r="D25" s="187" t="inlineStr">
        <is>
          <t>kg</t>
        </is>
      </c>
      <c r="E25" s="183" t="n">
        <v>1000</v>
      </c>
      <c r="F25" s="184" t="n">
        <v>2000000</v>
      </c>
      <c r="G25" s="393" t="inlineStr">
        <is>
          <t>Fase 0</t>
        </is>
      </c>
      <c r="H25" s="190" t="inlineStr">
        <is>
          <t>2 minggu sebelum tanam. Target pH 6.0–6.5</t>
        </is>
      </c>
      <c r="I25" s="171" t="n"/>
      <c r="J25" s="172" t="n"/>
    </row>
    <row r="26" ht="18" customHeight="1">
      <c r="A26" s="390" t="n">
        <v>5</v>
      </c>
      <c r="B26" s="391" t="inlineStr">
        <is>
          <t>Pembuatan bedengan + saluran drainase</t>
        </is>
      </c>
      <c r="C26" s="392" t="n">
        <v>10000</v>
      </c>
      <c r="D26" s="390" t="inlineStr">
        <is>
          <t>m²</t>
        </is>
      </c>
      <c r="E26" s="183" t="n">
        <v>400</v>
      </c>
      <c r="F26" s="184" t="n">
        <v>4000000</v>
      </c>
      <c r="G26" s="393" t="inlineStr">
        <is>
          <t>Fase 0</t>
        </is>
      </c>
      <c r="H26" s="394" t="inlineStr">
        <is>
          <t>Lebar 100cm, tinggi 30cm, jarak 40cm antar bedeng</t>
        </is>
      </c>
      <c r="I26" s="171" t="n"/>
      <c r="J26" s="172" t="n"/>
    </row>
    <row r="27" ht="18" customHeight="1">
      <c r="A27" s="187" t="n">
        <v>6</v>
      </c>
      <c r="B27" s="188" t="inlineStr">
        <is>
          <t>Pemasangan mulsa plastik hitam perak</t>
        </is>
      </c>
      <c r="C27" s="399" t="n">
        <v>100</v>
      </c>
      <c r="D27" s="187" t="inlineStr">
        <is>
          <t>roll</t>
        </is>
      </c>
      <c r="E27" s="183" t="n">
        <v>60000</v>
      </c>
      <c r="F27" s="184" t="n">
        <v>6000000</v>
      </c>
      <c r="G27" s="400" t="inlineStr">
        <is>
          <t>Fase 1</t>
        </is>
      </c>
      <c r="H27" s="190" t="inlineStr">
        <is>
          <t>Wajib! Kendalikan gulma &amp; kelembaban tanah</t>
        </is>
      </c>
      <c r="I27" s="171" t="n"/>
      <c r="J27" s="172" t="n"/>
    </row>
    <row r="28" ht="18" customHeight="1">
      <c r="A28" s="390" t="n">
        <v>7</v>
      </c>
      <c r="B28" s="391" t="inlineStr">
        <is>
          <t>Pembuatan jalan setapak antar bedeng</t>
        </is>
      </c>
      <c r="C28" s="392" t="n">
        <v>1</v>
      </c>
      <c r="D28" s="390" t="inlineStr">
        <is>
          <t>paket</t>
        </is>
      </c>
      <c r="E28" s="183" t="n">
        <v>3000000</v>
      </c>
      <c r="F28" s="184" t="n">
        <v>3000000</v>
      </c>
      <c r="G28" s="400" t="inlineStr">
        <is>
          <t>Fase 1</t>
        </is>
      </c>
      <c r="H28" s="394" t="inlineStr">
        <is>
          <t>Sirtu atau batu kali, lebar 40cm</t>
        </is>
      </c>
      <c r="I28" s="171" t="n"/>
      <c r="J28" s="172" t="n"/>
    </row>
    <row r="29" ht="18" customHeight="1">
      <c r="A29" s="395" t="n">
        <v>8</v>
      </c>
      <c r="B29" s="396" t="inlineStr">
        <is>
          <t>Gaji pekerja lokal persiapan lahan (total)</t>
        </is>
      </c>
      <c r="C29" s="397" t="n">
        <v>15</v>
      </c>
      <c r="D29" s="395" t="inlineStr">
        <is>
          <t>HOK</t>
        </is>
      </c>
      <c r="E29" s="183" t="n">
        <v>150000</v>
      </c>
      <c r="F29" s="401" t="n">
        <v>2250000</v>
      </c>
      <c r="G29" s="393" t="inlineStr">
        <is>
          <t>Fase 0</t>
        </is>
      </c>
      <c r="H29" s="398" t="inlineStr">
        <is>
          <t>⚠️ ADVANCE: dicatat sebagai pinjaman, dipotong dari porsi 40% saat panen</t>
        </is>
      </c>
      <c r="I29" s="171" t="n"/>
      <c r="J29" s="172" t="n"/>
    </row>
    <row r="30" ht="20" customHeight="1">
      <c r="A30" s="454" t="inlineStr">
        <is>
          <t xml:space="preserve">  ▶ SUBTOTAL: PERSIAPAN LAHAN</t>
        </is>
      </c>
      <c r="B30" s="178" t="n"/>
      <c r="C30" s="178" t="n"/>
      <c r="D30" s="178" t="n"/>
      <c r="E30" s="178" t="n"/>
      <c r="F30" s="455" t="n">
        <v>31750000</v>
      </c>
      <c r="G30" s="456" t="n"/>
      <c r="H30" s="178" t="n"/>
      <c r="I30" s="178" t="n"/>
      <c r="J30" s="179" t="n"/>
    </row>
    <row r="31"/>
    <row r="32" ht="20" customHeight="1">
      <c r="A32" s="385" t="inlineStr">
        <is>
          <t xml:space="preserve">  B. PEMBIBITAN &amp; PENGADAAN BIBIT — Cabai Merah Besar</t>
        </is>
      </c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2" t="n"/>
    </row>
    <row r="33" ht="26" customHeight="1">
      <c r="A33" s="450" t="inlineStr">
        <is>
          <t>No</t>
        </is>
      </c>
      <c r="B33" s="451" t="inlineStr">
        <is>
          <t>Uraian Pekerjaan / Item</t>
        </is>
      </c>
      <c r="C33" s="452" t="inlineStr">
        <is>
          <t>Vol</t>
        </is>
      </c>
      <c r="D33" s="452" t="inlineStr">
        <is>
          <t>Sat</t>
        </is>
      </c>
      <c r="E33" s="452" t="inlineStr">
        <is>
          <t>Harga Sat (Rp)</t>
        </is>
      </c>
      <c r="F33" s="452" t="inlineStr">
        <is>
          <t>Total (Rp)</t>
        </is>
      </c>
      <c r="G33" s="452" t="inlineStr">
        <is>
          <t>Fase</t>
        </is>
      </c>
      <c r="H33" s="453" t="inlineStr">
        <is>
          <t>Keterangan</t>
        </is>
      </c>
      <c r="I33" s="178" t="n"/>
      <c r="J33" s="179" t="n"/>
    </row>
    <row r="34" ht="18" customHeight="1">
      <c r="A34" s="390" t="n">
        <v>1</v>
      </c>
      <c r="B34" s="405" t="inlineStr">
        <is>
          <t>Benih F1 hybrid (Pelita/Lado/Hot Beauty)</t>
        </is>
      </c>
      <c r="C34" s="392" t="n">
        <v>5</v>
      </c>
      <c r="D34" s="390" t="inlineStr">
        <is>
          <t>pak 10g</t>
        </is>
      </c>
      <c r="E34" s="183" t="n">
        <v>500000</v>
      </c>
      <c r="F34" s="184" t="n">
        <v>2500000</v>
      </c>
      <c r="G34" s="400" t="inlineStr">
        <is>
          <t>Fase 1</t>
        </is>
      </c>
      <c r="H34" s="394" t="inlineStr">
        <is>
          <t>F1 lebih tahan CMV. 25.000 benih/ha</t>
        </is>
      </c>
      <c r="I34" s="171" t="n"/>
      <c r="J34" s="172" t="n"/>
    </row>
    <row r="35" ht="18" customHeight="1">
      <c r="A35" s="187" t="n">
        <v>2</v>
      </c>
      <c r="B35" s="188" t="inlineStr">
        <is>
          <t>Polybag semai 8cm + media cocopeat</t>
        </is>
      </c>
      <c r="C35" s="399" t="n">
        <v>27500</v>
      </c>
      <c r="D35" s="187" t="inlineStr">
        <is>
          <t>pcs</t>
        </is>
      </c>
      <c r="E35" s="183" t="n">
        <v>200</v>
      </c>
      <c r="F35" s="184" t="n">
        <v>5500000</v>
      </c>
      <c r="G35" s="400" t="inlineStr">
        <is>
          <t>Fase 1</t>
        </is>
      </c>
      <c r="H35" s="190" t="inlineStr">
        <is>
          <t>Media ringan, drainase baik. Semai 30 hari</t>
        </is>
      </c>
      <c r="I35" s="171" t="n"/>
      <c r="J35" s="172" t="n"/>
    </row>
    <row r="36" ht="18" customHeight="1">
      <c r="A36" s="390" t="n">
        <v>3</v>
      </c>
      <c r="B36" s="405" t="inlineStr">
        <is>
          <t>Tiang ajir bambu 120cm (wajib!)</t>
        </is>
      </c>
      <c r="C36" s="392" t="n">
        <v>25000</v>
      </c>
      <c r="D36" s="390" t="inlineStr">
        <is>
          <t>btg</t>
        </is>
      </c>
      <c r="E36" s="183" t="n">
        <v>1500</v>
      </c>
      <c r="F36" s="184" t="n">
        <v>37500000</v>
      </c>
      <c r="G36" s="400" t="inlineStr">
        <is>
          <t>Fase 1</t>
        </is>
      </c>
      <c r="H36" s="394" t="inlineStr">
        <is>
          <t>1 ajir per tanaman. Cabai roboh tanpa ajir</t>
        </is>
      </c>
      <c r="I36" s="171" t="n"/>
      <c r="J36" s="172" t="n"/>
    </row>
    <row r="37" ht="18" customHeight="1">
      <c r="A37" s="187" t="n">
        <v>4</v>
      </c>
      <c r="B37" s="188" t="inlineStr">
        <is>
          <t>Rafia / tali ajir (ikat ke ajir)</t>
        </is>
      </c>
      <c r="C37" s="399" t="n">
        <v>50</v>
      </c>
      <c r="D37" s="187" t="inlineStr">
        <is>
          <t>roll</t>
        </is>
      </c>
      <c r="E37" s="183" t="n">
        <v>15000</v>
      </c>
      <c r="F37" s="184" t="n">
        <v>750000</v>
      </c>
      <c r="G37" s="400" t="inlineStr">
        <is>
          <t>Fase 1</t>
        </is>
      </c>
      <c r="H37" s="190" t="inlineStr">
        <is>
          <t>Ganti tiap 3 minggu</t>
        </is>
      </c>
      <c r="I37" s="171" t="n"/>
      <c r="J37" s="172" t="n"/>
    </row>
    <row r="38" ht="18" customHeight="1">
      <c r="A38" s="390" t="n">
        <v>5</v>
      </c>
      <c r="B38" s="391" t="inlineStr">
        <is>
          <t>Seed treatment insektisida (thrips)</t>
        </is>
      </c>
      <c r="C38" s="392" t="n">
        <v>0.5</v>
      </c>
      <c r="D38" s="390" t="inlineStr">
        <is>
          <t>liter</t>
        </is>
      </c>
      <c r="E38" s="183" t="n">
        <v>600000</v>
      </c>
      <c r="F38" s="184" t="n">
        <v>300000</v>
      </c>
      <c r="G38" s="400" t="inlineStr">
        <is>
          <t>Fase 1</t>
        </is>
      </c>
      <c r="H38" s="394" t="inlineStr">
        <is>
          <t>Celup tray semai Confidor</t>
        </is>
      </c>
      <c r="I38" s="171" t="n"/>
      <c r="J38" s="172" t="n"/>
    </row>
    <row r="39" ht="20" customHeight="1">
      <c r="A39" s="454" t="inlineStr">
        <is>
          <t xml:space="preserve">  ▶ SUBTOTAL: BIBIT CABAI MERAH BESAR</t>
        </is>
      </c>
      <c r="B39" s="178" t="n"/>
      <c r="C39" s="178" t="n"/>
      <c r="D39" s="178" t="n"/>
      <c r="E39" s="178" t="n"/>
      <c r="F39" s="455" t="n">
        <v>46550000</v>
      </c>
      <c r="G39" s="456" t="n"/>
      <c r="H39" s="178" t="n"/>
      <c r="I39" s="178" t="n"/>
      <c r="J39" s="179" t="n"/>
    </row>
    <row r="40"/>
    <row r="41" ht="20" customHeight="1">
      <c r="A41" s="385" t="inlineStr">
        <is>
          <t xml:space="preserve">  C. IRIGASI &amp; INSTALASI PIPA (dari titik keran yayasan ke lahan)</t>
        </is>
      </c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2" t="n"/>
    </row>
    <row r="42" ht="22" customHeight="1">
      <c r="A42" s="407" t="inlineStr">
        <is>
          <t xml:space="preserve">  ℹ️  Yayasan menyediakan TITIK KERAN di jalur utama. Biaya di bawah adalah dari keran → area tanam masing-masing lahan.</t>
        </is>
      </c>
      <c r="B42" s="171" t="n"/>
      <c r="C42" s="171" t="n"/>
      <c r="D42" s="171" t="n"/>
      <c r="E42" s="171" t="n"/>
      <c r="F42" s="171" t="n"/>
      <c r="G42" s="171" t="n"/>
      <c r="H42" s="171" t="n"/>
      <c r="I42" s="171" t="n"/>
      <c r="J42" s="172" t="n"/>
    </row>
    <row r="43" ht="26" customHeight="1">
      <c r="A43" s="450" t="inlineStr">
        <is>
          <t>No</t>
        </is>
      </c>
      <c r="B43" s="451" t="inlineStr">
        <is>
          <t>Uraian Pekerjaan / Item</t>
        </is>
      </c>
      <c r="C43" s="452" t="inlineStr">
        <is>
          <t>Vol</t>
        </is>
      </c>
      <c r="D43" s="452" t="inlineStr">
        <is>
          <t>Sat</t>
        </is>
      </c>
      <c r="E43" s="452" t="inlineStr">
        <is>
          <t>Harga Sat (Rp)</t>
        </is>
      </c>
      <c r="F43" s="452" t="inlineStr">
        <is>
          <t>Total (Rp)</t>
        </is>
      </c>
      <c r="G43" s="452" t="inlineStr">
        <is>
          <t>Fase</t>
        </is>
      </c>
      <c r="H43" s="453" t="inlineStr">
        <is>
          <t>Keterangan</t>
        </is>
      </c>
      <c r="I43" s="178" t="n"/>
      <c r="J43" s="179" t="n"/>
    </row>
    <row r="44" ht="18" customHeight="1">
      <c r="A44" s="390" t="n">
        <v>1</v>
      </c>
      <c r="B44" s="391" t="inlineStr">
        <is>
          <t>Tandon air 1.000L PE food grade (2 unit)</t>
        </is>
      </c>
      <c r="C44" s="392" t="n">
        <v>2</v>
      </c>
      <c r="D44" s="390" t="inlineStr">
        <is>
          <t>unit</t>
        </is>
      </c>
      <c r="E44" s="183" t="n">
        <v>800000</v>
      </c>
      <c r="F44" s="184" t="n">
        <v>1600000</v>
      </c>
      <c r="G44" s="400" t="inlineStr">
        <is>
          <t>Fase 1</t>
        </is>
      </c>
      <c r="H44" s="394" t="inlineStr">
        <is>
          <t>Titik tertinggi lahan. Gravitasi bantu tekanan</t>
        </is>
      </c>
      <c r="I44" s="171" t="n"/>
      <c r="J44" s="172" t="n"/>
    </row>
    <row r="45" ht="18" customHeight="1">
      <c r="A45" s="187" t="n">
        <v>2</v>
      </c>
      <c r="B45" s="188" t="inlineStr">
        <is>
          <t>Pipa PVC 1,5" utama dari tandon</t>
        </is>
      </c>
      <c r="C45" s="399" t="n">
        <v>6</v>
      </c>
      <c r="D45" s="187" t="inlineStr">
        <is>
          <t>btg 4m</t>
        </is>
      </c>
      <c r="E45" s="183" t="n">
        <v>45000</v>
      </c>
      <c r="F45" s="184" t="n">
        <v>270000</v>
      </c>
      <c r="G45" s="400" t="inlineStr">
        <is>
          <t>Fase 1</t>
        </is>
      </c>
      <c r="H45" s="190" t="inlineStr">
        <is>
          <t>~20m dari tandon ke manifold</t>
        </is>
      </c>
      <c r="I45" s="171" t="n"/>
      <c r="J45" s="172" t="n"/>
    </row>
    <row r="46" ht="18" customHeight="1">
      <c r="A46" s="390" t="n">
        <v>3</v>
      </c>
      <c r="B46" s="391" t="inlineStr">
        <is>
          <t>Manifold PVC 1" (header per zona irigasi)</t>
        </is>
      </c>
      <c r="C46" s="392" t="n">
        <v>4</v>
      </c>
      <c r="D46" s="390" t="inlineStr">
        <is>
          <t>unit</t>
        </is>
      </c>
      <c r="E46" s="183" t="n">
        <v>50000</v>
      </c>
      <c r="F46" s="184" t="n">
        <v>200000</v>
      </c>
      <c r="G46" s="400" t="inlineStr">
        <is>
          <t>Fase 1</t>
        </is>
      </c>
      <c r="H46" s="394" t="inlineStr">
        <is>
          <t>4 zona bagi agar tekanan merata</t>
        </is>
      </c>
      <c r="I46" s="171" t="n"/>
      <c r="J46" s="172" t="n"/>
    </row>
    <row r="47" ht="18" customHeight="1">
      <c r="A47" s="187" t="n">
        <v>4</v>
      </c>
      <c r="B47" s="188" t="inlineStr">
        <is>
          <t>Pipa lateral PVC 3/4" (ke blok bedeng)</t>
        </is>
      </c>
      <c r="C47" s="399" t="n">
        <v>25</v>
      </c>
      <c r="D47" s="187" t="inlineStr">
        <is>
          <t>btg 4m</t>
        </is>
      </c>
      <c r="E47" s="183" t="n">
        <v>25000</v>
      </c>
      <c r="F47" s="184" t="n">
        <v>625000</v>
      </c>
      <c r="G47" s="400" t="inlineStr">
        <is>
          <t>Fase 1</t>
        </is>
      </c>
      <c r="H47" s="190" t="n"/>
      <c r="I47" s="171" t="n"/>
      <c r="J47" s="172" t="n"/>
    </row>
    <row r="48" ht="18" customHeight="1">
      <c r="A48" s="390" t="n">
        <v>5</v>
      </c>
      <c r="B48" s="391" t="inlineStr">
        <is>
          <t>Selang PE 1/2" drip line per baris</t>
        </is>
      </c>
      <c r="C48" s="392" t="n">
        <v>300</v>
      </c>
      <c r="D48" s="390" t="inlineStr">
        <is>
          <t>meter</t>
        </is>
      </c>
      <c r="E48" s="183" t="n">
        <v>5000</v>
      </c>
      <c r="F48" s="184" t="n">
        <v>1500000</v>
      </c>
      <c r="G48" s="400" t="inlineStr">
        <is>
          <t>Fase 1</t>
        </is>
      </c>
      <c r="H48" s="394" t="inlineStr">
        <is>
          <t>Sesuaikan jarak tanam</t>
        </is>
      </c>
      <c r="I48" s="171" t="n"/>
      <c r="J48" s="172" t="n"/>
    </row>
    <row r="49" ht="18" customHeight="1">
      <c r="A49" s="187" t="n">
        <v>6</v>
      </c>
      <c r="B49" s="188" t="inlineStr">
        <is>
          <t>Emitter drip 2L/jam (1 per bibit)</t>
        </is>
      </c>
      <c r="C49" s="399" t="n">
        <v>25000</v>
      </c>
      <c r="D49" s="187" t="inlineStr">
        <is>
          <t>pcs</t>
        </is>
      </c>
      <c r="E49" s="183" t="n">
        <v>600</v>
      </c>
      <c r="F49" s="184" t="n">
        <v>15000000</v>
      </c>
      <c r="G49" s="400" t="inlineStr">
        <is>
          <t>Fase 1</t>
        </is>
      </c>
      <c r="H49" s="190" t="inlineStr">
        <is>
          <t>25,000 bibit = 25,000 emitter</t>
        </is>
      </c>
      <c r="I49" s="171" t="n"/>
      <c r="J49" s="172" t="n"/>
    </row>
    <row r="50" ht="18" customHeight="1">
      <c r="A50" s="390" t="n">
        <v>7</v>
      </c>
      <c r="B50" s="391" t="inlineStr">
        <is>
          <t>Ball valve 3/4" (kontrol zona)</t>
        </is>
      </c>
      <c r="C50" s="392" t="n">
        <v>8</v>
      </c>
      <c r="D50" s="390" t="inlineStr">
        <is>
          <t>pcs</t>
        </is>
      </c>
      <c r="E50" s="183" t="n">
        <v>25000</v>
      </c>
      <c r="F50" s="184" t="n">
        <v>200000</v>
      </c>
      <c r="G50" s="400" t="inlineStr">
        <is>
          <t>Fase 1</t>
        </is>
      </c>
      <c r="H50" s="394" t="n"/>
      <c r="I50" s="171" t="n"/>
      <c r="J50" s="172" t="n"/>
    </row>
    <row r="51" ht="18" customHeight="1">
      <c r="A51" s="187" t="n">
        <v>8</v>
      </c>
      <c r="B51" s="188" t="inlineStr">
        <is>
          <t>Filter sedimen sebelum emitter</t>
        </is>
      </c>
      <c r="C51" s="399" t="n">
        <v>2</v>
      </c>
      <c r="D51" s="187" t="inlineStr">
        <is>
          <t>unit</t>
        </is>
      </c>
      <c r="E51" s="183" t="n">
        <v>150000</v>
      </c>
      <c r="F51" s="184" t="n">
        <v>300000</v>
      </c>
      <c r="G51" s="400" t="inlineStr">
        <is>
          <t>Fase 1</t>
        </is>
      </c>
      <c r="H51" s="190" t="inlineStr">
        <is>
          <t>Wajib! Cegah buntu</t>
        </is>
      </c>
      <c r="I51" s="171" t="n"/>
      <c r="J51" s="172" t="n"/>
    </row>
    <row r="52" ht="18" customHeight="1">
      <c r="A52" s="390" t="n">
        <v>9</v>
      </c>
      <c r="B52" s="391" t="inlineStr">
        <is>
          <t>Fitting (elbow, T, keni, lem PVC)</t>
        </is>
      </c>
      <c r="C52" s="392" t="n">
        <v>1</v>
      </c>
      <c r="D52" s="390" t="inlineStr">
        <is>
          <t>paket</t>
        </is>
      </c>
      <c r="E52" s="183" t="n">
        <v>350000</v>
      </c>
      <c r="F52" s="184" t="n">
        <v>350000</v>
      </c>
      <c r="G52" s="400" t="inlineStr">
        <is>
          <t>Fase 1</t>
        </is>
      </c>
      <c r="H52" s="394" t="n"/>
      <c r="I52" s="171" t="n"/>
      <c r="J52" s="172" t="n"/>
    </row>
    <row r="53" ht="18" customHeight="1">
      <c r="A53" s="187" t="n">
        <v>10</v>
      </c>
      <c r="B53" s="188" t="inlineStr">
        <is>
          <t>Selang siram manual 1" × 30m (backup)</t>
        </is>
      </c>
      <c r="C53" s="399" t="n">
        <v>2</v>
      </c>
      <c r="D53" s="187" t="inlineStr">
        <is>
          <t>gulung</t>
        </is>
      </c>
      <c r="E53" s="183" t="n">
        <v>200000</v>
      </c>
      <c r="F53" s="184" t="n">
        <v>400000</v>
      </c>
      <c r="G53" s="400" t="inlineStr">
        <is>
          <t>Fase 1</t>
        </is>
      </c>
      <c r="H53" s="190" t="inlineStr">
        <is>
          <t>Backup + aplikasi pupuk cair</t>
        </is>
      </c>
      <c r="I53" s="171" t="n"/>
      <c r="J53" s="172" t="n"/>
    </row>
    <row r="54" ht="18" customHeight="1">
      <c r="A54" s="390" t="n">
        <v>11</v>
      </c>
      <c r="B54" s="391" t="inlineStr">
        <is>
          <t>Pompa celup 125W (jika tidak gravitasi)</t>
        </is>
      </c>
      <c r="C54" s="392" t="n">
        <v>1</v>
      </c>
      <c r="D54" s="390" t="inlineStr">
        <is>
          <t>unit</t>
        </is>
      </c>
      <c r="E54" s="183" t="n">
        <v>800000</v>
      </c>
      <c r="F54" s="184" t="n">
        <v>800000</v>
      </c>
      <c r="G54" s="400" t="inlineStr">
        <is>
          <t>Fase 1</t>
        </is>
      </c>
      <c r="H54" s="394" t="inlineStr">
        <is>
          <t>Cek elevasi lahan dulu</t>
        </is>
      </c>
      <c r="I54" s="171" t="n"/>
      <c r="J54" s="172" t="n"/>
    </row>
    <row r="55" ht="18" customHeight="1">
      <c r="A55" s="187" t="n">
        <v>12</v>
      </c>
      <c r="B55" s="188" t="inlineStr">
        <is>
          <t>Drip tape (lebih efisien jarak 50×60cm)</t>
        </is>
      </c>
      <c r="C55" s="399" t="n">
        <v>500</v>
      </c>
      <c r="D55" s="187" t="inlineStr">
        <is>
          <t>meter</t>
        </is>
      </c>
      <c r="E55" s="183" t="n">
        <v>8000</v>
      </c>
      <c r="F55" s="184" t="n">
        <v>4000000</v>
      </c>
      <c r="G55" s="400" t="inlineStr">
        <is>
          <t>Fase 1</t>
        </is>
      </c>
      <c r="H55" s="190" t="inlineStr">
        <is>
          <t>1 jalur per 2 baris. Lebih hemat emitter</t>
        </is>
      </c>
      <c r="I55" s="171" t="n"/>
      <c r="J55" s="172" t="n"/>
    </row>
    <row r="56" ht="18" customHeight="1">
      <c r="A56" s="390" t="n">
        <v>13</v>
      </c>
      <c r="B56" s="391" t="inlineStr">
        <is>
          <t>Fertigasi injector venturi</t>
        </is>
      </c>
      <c r="C56" s="392" t="n">
        <v>1</v>
      </c>
      <c r="D56" s="390" t="inlineStr">
        <is>
          <t>paket</t>
        </is>
      </c>
      <c r="E56" s="183" t="n">
        <v>1500000</v>
      </c>
      <c r="F56" s="184" t="n">
        <v>1500000</v>
      </c>
      <c r="G56" s="400" t="inlineStr">
        <is>
          <t>Fase 1</t>
        </is>
      </c>
      <c r="H56" s="394" t="inlineStr">
        <is>
          <t>Pupuk cair masuk via drip langsung ke akar</t>
        </is>
      </c>
      <c r="I56" s="171" t="n"/>
      <c r="J56" s="172" t="n"/>
    </row>
    <row r="57" ht="20" customHeight="1">
      <c r="A57" s="454" t="inlineStr">
        <is>
          <t xml:space="preserve">  ▶ SUBTOTAL: IRIGASI &amp; PIPA</t>
        </is>
      </c>
      <c r="B57" s="178" t="n"/>
      <c r="C57" s="178" t="n"/>
      <c r="D57" s="178" t="n"/>
      <c r="E57" s="178" t="n"/>
      <c r="F57" s="455" t="n">
        <v>26745000</v>
      </c>
      <c r="G57" s="456" t="n"/>
      <c r="H57" s="178" t="n"/>
      <c r="I57" s="178" t="n"/>
      <c r="J57" s="179" t="n"/>
    </row>
    <row r="58"/>
    <row r="59" ht="20" customHeight="1">
      <c r="A59" s="385" t="inlineStr">
        <is>
          <t xml:space="preserve">  D. PUPUK, NUTRISI &amp; PERLINDUNGAN TANAMAN</t>
        </is>
      </c>
      <c r="B59" s="171" t="n"/>
      <c r="C59" s="171" t="n"/>
      <c r="D59" s="171" t="n"/>
      <c r="E59" s="171" t="n"/>
      <c r="F59" s="171" t="n"/>
      <c r="G59" s="171" t="n"/>
      <c r="H59" s="171" t="n"/>
      <c r="I59" s="171" t="n"/>
      <c r="J59" s="172" t="n"/>
    </row>
    <row r="60" ht="26" customHeight="1">
      <c r="A60" s="450" t="inlineStr">
        <is>
          <t>No</t>
        </is>
      </c>
      <c r="B60" s="451" t="inlineStr">
        <is>
          <t>Uraian Pekerjaan / Item</t>
        </is>
      </c>
      <c r="C60" s="452" t="inlineStr">
        <is>
          <t>Vol</t>
        </is>
      </c>
      <c r="D60" s="452" t="inlineStr">
        <is>
          <t>Sat</t>
        </is>
      </c>
      <c r="E60" s="452" t="inlineStr">
        <is>
          <t>Harga Sat (Rp)</t>
        </is>
      </c>
      <c r="F60" s="452" t="inlineStr">
        <is>
          <t>Total (Rp)</t>
        </is>
      </c>
      <c r="G60" s="452" t="inlineStr">
        <is>
          <t>Fase</t>
        </is>
      </c>
      <c r="H60" s="453" t="inlineStr">
        <is>
          <t>Keterangan</t>
        </is>
      </c>
      <c r="I60" s="178" t="n"/>
      <c r="J60" s="179" t="n"/>
    </row>
    <row r="61" ht="18" customHeight="1">
      <c r="A61" s="390" t="n">
        <v>1</v>
      </c>
      <c r="B61" s="391" t="inlineStr">
        <is>
          <t>Pupuk kandang matang 20 ton/ha</t>
        </is>
      </c>
      <c r="C61" s="392" t="n">
        <v>20000</v>
      </c>
      <c r="D61" s="390" t="inlineStr">
        <is>
          <t>kg</t>
        </is>
      </c>
      <c r="E61" s="183" t="n">
        <v>300</v>
      </c>
      <c r="F61" s="184" t="n">
        <v>6000000</v>
      </c>
      <c r="G61" s="393" t="inlineStr">
        <is>
          <t>Fase 0</t>
        </is>
      </c>
      <c r="H61" s="394" t="inlineStr">
        <is>
          <t>2 minggu sebelum tanam</t>
        </is>
      </c>
      <c r="I61" s="171" t="n"/>
      <c r="J61" s="172" t="n"/>
    </row>
    <row r="62" ht="18" customHeight="1">
      <c r="A62" s="187" t="n">
        <v>2</v>
      </c>
      <c r="B62" s="188" t="inlineStr">
        <is>
          <t>NPK 16-16-16 (dasar + susulan)</t>
        </is>
      </c>
      <c r="C62" s="399" t="n">
        <v>500</v>
      </c>
      <c r="D62" s="187" t="inlineStr">
        <is>
          <t>kg</t>
        </is>
      </c>
      <c r="E62" s="183" t="n">
        <v>8500</v>
      </c>
      <c r="F62" s="184" t="n">
        <v>4250000</v>
      </c>
      <c r="G62" s="400" t="inlineStr">
        <is>
          <t>Fase 1</t>
        </is>
      </c>
      <c r="H62" s="190" t="inlineStr">
        <is>
          <t>50% dasar, 50% bln 2&amp;4</t>
        </is>
      </c>
      <c r="I62" s="171" t="n"/>
      <c r="J62" s="172" t="n"/>
    </row>
    <row r="63" ht="18" customHeight="1">
      <c r="A63" s="390" t="n">
        <v>3</v>
      </c>
      <c r="B63" s="391" t="inlineStr">
        <is>
          <t>SP-36 fosfor akar</t>
        </is>
      </c>
      <c r="C63" s="392" t="n">
        <v>150</v>
      </c>
      <c r="D63" s="390" t="inlineStr">
        <is>
          <t>kg</t>
        </is>
      </c>
      <c r="E63" s="183" t="n">
        <v>5500</v>
      </c>
      <c r="F63" s="184" t="n">
        <v>825000</v>
      </c>
      <c r="G63" s="393" t="inlineStr">
        <is>
          <t>Fase 0</t>
        </is>
      </c>
      <c r="H63" s="394" t="inlineStr">
        <is>
          <t>Campur saat pengolahan tanah</t>
        </is>
      </c>
      <c r="I63" s="171" t="n"/>
      <c r="J63" s="172" t="n"/>
    </row>
    <row r="64" ht="18" customHeight="1">
      <c r="A64" s="187" t="n">
        <v>4</v>
      </c>
      <c r="B64" s="188" t="inlineStr">
        <is>
          <t>Pupuk organik cair MOL (8 bln)</t>
        </is>
      </c>
      <c r="C64" s="399" t="n">
        <v>8</v>
      </c>
      <c r="D64" s="187" t="inlineStr">
        <is>
          <t>bln</t>
        </is>
      </c>
      <c r="E64" s="183" t="n">
        <v>300000</v>
      </c>
      <c r="F64" s="184" t="n">
        <v>2400000</v>
      </c>
      <c r="G64" s="406" t="inlineStr">
        <is>
          <t>Rutin</t>
        </is>
      </c>
      <c r="H64" s="190" t="inlineStr">
        <is>
          <t>Semprot 2× sebulan</t>
        </is>
      </c>
      <c r="I64" s="171" t="n"/>
      <c r="J64" s="172" t="n"/>
    </row>
    <row r="65" ht="18" customHeight="1">
      <c r="A65" s="390" t="n">
        <v>5</v>
      </c>
      <c r="B65" s="391" t="inlineStr">
        <is>
          <t>Trichoderma sp. (biofungisida)</t>
        </is>
      </c>
      <c r="C65" s="392" t="n">
        <v>5</v>
      </c>
      <c r="D65" s="390" t="inlineStr">
        <is>
          <t>kg</t>
        </is>
      </c>
      <c r="E65" s="183" t="n">
        <v>80000</v>
      </c>
      <c r="F65" s="184" t="n">
        <v>400000</v>
      </c>
      <c r="G65" s="400" t="inlineStr">
        <is>
          <t>Fase 1</t>
        </is>
      </c>
      <c r="H65" s="394" t="inlineStr">
        <is>
          <t>Campur pupuk kandang saat tanam</t>
        </is>
      </c>
      <c r="I65" s="171" t="n"/>
      <c r="J65" s="172" t="n"/>
    </row>
    <row r="66" ht="18" customHeight="1">
      <c r="A66" s="187" t="n">
        <v>6</v>
      </c>
      <c r="B66" s="188" t="inlineStr">
        <is>
          <t>KNO3 (fase generatif/berbuah)</t>
        </is>
      </c>
      <c r="C66" s="399" t="n">
        <v>200</v>
      </c>
      <c r="D66" s="187" t="inlineStr">
        <is>
          <t>kg</t>
        </is>
      </c>
      <c r="E66" s="183" t="n">
        <v>25000</v>
      </c>
      <c r="F66" s="184" t="n">
        <v>5000000</v>
      </c>
      <c r="G66" s="406" t="inlineStr">
        <is>
          <t>Rutin</t>
        </is>
      </c>
      <c r="H66" s="190" t="inlineStr">
        <is>
          <t>Kritis! Buah besar, merah merata, tidak gugur</t>
        </is>
      </c>
      <c r="I66" s="171" t="n"/>
      <c r="J66" s="172" t="n"/>
    </row>
    <row r="67" ht="18" customHeight="1">
      <c r="A67" s="390" t="n">
        <v>7</v>
      </c>
      <c r="B67" s="391" t="inlineStr">
        <is>
          <t>Ca(NO3)2 kalsium (cegah BER/busuk ujung)</t>
        </is>
      </c>
      <c r="C67" s="392" t="n">
        <v>100</v>
      </c>
      <c r="D67" s="390" t="inlineStr">
        <is>
          <t>kg</t>
        </is>
      </c>
      <c r="E67" s="183" t="n">
        <v>12000</v>
      </c>
      <c r="F67" s="184" t="n">
        <v>1200000</v>
      </c>
      <c r="G67" s="406" t="inlineStr">
        <is>
          <t>Rutin</t>
        </is>
      </c>
      <c r="H67" s="394" t="inlineStr">
        <is>
          <t>Semprot daun 2× sebulan</t>
        </is>
      </c>
      <c r="I67" s="171" t="n"/>
      <c r="J67" s="172" t="n"/>
    </row>
    <row r="68" ht="18" customHeight="1">
      <c r="A68" s="187" t="n">
        <v>8</v>
      </c>
      <c r="B68" s="188" t="inlineStr">
        <is>
          <t>Mankozeb (fungisida antraknosa)</t>
        </is>
      </c>
      <c r="C68" s="399" t="n">
        <v>10</v>
      </c>
      <c r="D68" s="187" t="inlineStr">
        <is>
          <t>kg</t>
        </is>
      </c>
      <c r="E68" s="183" t="n">
        <v>60000</v>
      </c>
      <c r="F68" s="184" t="n">
        <v>600000</v>
      </c>
      <c r="G68" s="406" t="inlineStr">
        <is>
          <t>Rutin</t>
        </is>
      </c>
      <c r="H68" s="190" t="inlineStr">
        <is>
          <t>Antraknosa = musuh terbesar cabai</t>
        </is>
      </c>
      <c r="I68" s="171" t="n"/>
      <c r="J68" s="172" t="n"/>
    </row>
    <row r="69" ht="18" customHeight="1">
      <c r="A69" s="390" t="n">
        <v>9</v>
      </c>
      <c r="B69" s="391" t="inlineStr">
        <is>
          <t>Imidakloprid (insektisida thrips)</t>
        </is>
      </c>
      <c r="C69" s="392" t="n">
        <v>2</v>
      </c>
      <c r="D69" s="390" t="inlineStr">
        <is>
          <t>liter</t>
        </is>
      </c>
      <c r="E69" s="183" t="n">
        <v>350000</v>
      </c>
      <c r="F69" s="184" t="n">
        <v>700000</v>
      </c>
      <c r="G69" s="406" t="inlineStr">
        <is>
          <t>Rutin</t>
        </is>
      </c>
      <c r="H69" s="394" t="inlineStr">
        <is>
          <t>Rotasi bahan aktif tiap 2 bulan</t>
        </is>
      </c>
      <c r="I69" s="171" t="n"/>
      <c r="J69" s="172" t="n"/>
    </row>
    <row r="70" ht="20" customHeight="1">
      <c r="A70" s="454" t="inlineStr">
        <is>
          <t xml:space="preserve">  ▶ SUBTOTAL: PUPUK &amp; NUTRISI</t>
        </is>
      </c>
      <c r="B70" s="178" t="n"/>
      <c r="C70" s="178" t="n"/>
      <c r="D70" s="178" t="n"/>
      <c r="E70" s="178" t="n"/>
      <c r="F70" s="455" t="n">
        <v>21375000</v>
      </c>
      <c r="G70" s="456" t="n"/>
      <c r="H70" s="178" t="n"/>
      <c r="I70" s="178" t="n"/>
      <c r="J70" s="179" t="n"/>
    </row>
    <row r="71"/>
    <row r="72" ht="20" customHeight="1">
      <c r="A72" s="385" t="inlineStr">
        <is>
          <t xml:space="preserve">  E. ALAT PERTANIAN &amp; PERLENGKAPAN</t>
        </is>
      </c>
      <c r="B72" s="171" t="n"/>
      <c r="C72" s="171" t="n"/>
      <c r="D72" s="171" t="n"/>
      <c r="E72" s="171" t="n"/>
      <c r="F72" s="171" t="n"/>
      <c r="G72" s="171" t="n"/>
      <c r="H72" s="171" t="n"/>
      <c r="I72" s="171" t="n"/>
      <c r="J72" s="172" t="n"/>
    </row>
    <row r="73" ht="26" customHeight="1">
      <c r="A73" s="450" t="inlineStr">
        <is>
          <t>No</t>
        </is>
      </c>
      <c r="B73" s="451" t="inlineStr">
        <is>
          <t>Uraian Pekerjaan / Item</t>
        </is>
      </c>
      <c r="C73" s="452" t="inlineStr">
        <is>
          <t>Vol</t>
        </is>
      </c>
      <c r="D73" s="452" t="inlineStr">
        <is>
          <t>Sat</t>
        </is>
      </c>
      <c r="E73" s="452" t="inlineStr">
        <is>
          <t>Harga Sat (Rp)</t>
        </is>
      </c>
      <c r="F73" s="452" t="inlineStr">
        <is>
          <t>Total (Rp)</t>
        </is>
      </c>
      <c r="G73" s="452" t="inlineStr">
        <is>
          <t>Fase</t>
        </is>
      </c>
      <c r="H73" s="453" t="inlineStr">
        <is>
          <t>Keterangan</t>
        </is>
      </c>
      <c r="I73" s="178" t="n"/>
      <c r="J73" s="179" t="n"/>
    </row>
    <row r="74" ht="18" customHeight="1">
      <c r="A74" s="390" t="n">
        <v>1</v>
      </c>
      <c r="B74" s="391" t="inlineStr">
        <is>
          <t>Cangkul, sekop, garpu tanah (4 set)</t>
        </is>
      </c>
      <c r="C74" s="392" t="n">
        <v>4</v>
      </c>
      <c r="D74" s="390" t="inlineStr">
        <is>
          <t>set</t>
        </is>
      </c>
      <c r="E74" s="183" t="n">
        <v>120000</v>
      </c>
      <c r="F74" s="184" t="n">
        <v>480000</v>
      </c>
      <c r="G74" s="393" t="inlineStr">
        <is>
          <t>Fase 0</t>
        </is>
      </c>
      <c r="H74" s="394" t="n"/>
      <c r="I74" s="171" t="n"/>
      <c r="J74" s="172" t="n"/>
    </row>
    <row r="75" ht="18" customHeight="1">
      <c r="A75" s="187" t="n">
        <v>2</v>
      </c>
      <c r="B75" s="188" t="inlineStr">
        <is>
          <t>Knapsack sprayer 16L (2 unit)</t>
        </is>
      </c>
      <c r="C75" s="399" t="n">
        <v>2</v>
      </c>
      <c r="D75" s="187" t="inlineStr">
        <is>
          <t>unit</t>
        </is>
      </c>
      <c r="E75" s="183" t="n">
        <v>350000</v>
      </c>
      <c r="F75" s="184" t="n">
        <v>700000</v>
      </c>
      <c r="G75" s="400" t="inlineStr">
        <is>
          <t>Fase 1</t>
        </is>
      </c>
      <c r="H75" s="190" t="inlineStr">
        <is>
          <t>1 pupuk, 1 pestisida</t>
        </is>
      </c>
      <c r="I75" s="171" t="n"/>
      <c r="J75" s="172" t="n"/>
    </row>
    <row r="76" ht="18" customHeight="1">
      <c r="A76" s="390" t="n">
        <v>3</v>
      </c>
      <c r="B76" s="391" t="inlineStr">
        <is>
          <t>Timbangan digital 50kg</t>
        </is>
      </c>
      <c r="C76" s="392" t="n">
        <v>1</v>
      </c>
      <c r="D76" s="390" t="inlineStr">
        <is>
          <t>unit</t>
        </is>
      </c>
      <c r="E76" s="183" t="n">
        <v>450000</v>
      </c>
      <c r="F76" s="184" t="n">
        <v>450000</v>
      </c>
      <c r="G76" s="400" t="inlineStr">
        <is>
          <t>Fase 1</t>
        </is>
      </c>
      <c r="H76" s="394" t="inlineStr">
        <is>
          <t>Timbang hasil panen</t>
        </is>
      </c>
      <c r="I76" s="171" t="n"/>
      <c r="J76" s="172" t="n"/>
    </row>
    <row r="77" ht="18" customHeight="1">
      <c r="A77" s="187" t="n">
        <v>4</v>
      </c>
      <c r="B77" s="188" t="inlineStr">
        <is>
          <t>Karung panen 25kg &amp; 50kg</t>
        </is>
      </c>
      <c r="C77" s="399" t="n">
        <v>200</v>
      </c>
      <c r="D77" s="187" t="inlineStr">
        <is>
          <t>pcs</t>
        </is>
      </c>
      <c r="E77" s="183" t="n">
        <v>2500</v>
      </c>
      <c r="F77" s="184" t="n">
        <v>500000</v>
      </c>
      <c r="G77" s="400" t="inlineStr">
        <is>
          <t>Fase 1</t>
        </is>
      </c>
      <c r="H77" s="190" t="inlineStr">
        <is>
          <t>Restock tiap panen</t>
        </is>
      </c>
      <c r="I77" s="171" t="n"/>
      <c r="J77" s="172" t="n"/>
    </row>
    <row r="78" ht="18" customHeight="1">
      <c r="A78" s="390" t="n">
        <v>5</v>
      </c>
      <c r="B78" s="391" t="inlineStr">
        <is>
          <t>Keranjang plastik berlubang</t>
        </is>
      </c>
      <c r="C78" s="392" t="n">
        <v>20</v>
      </c>
      <c r="D78" s="390" t="inlineStr">
        <is>
          <t>pcs</t>
        </is>
      </c>
      <c r="E78" s="183" t="n">
        <v>25000</v>
      </c>
      <c r="F78" s="184" t="n">
        <v>500000</v>
      </c>
      <c r="G78" s="400" t="inlineStr">
        <is>
          <t>Fase 1</t>
        </is>
      </c>
      <c r="H78" s="394" t="inlineStr">
        <is>
          <t>Sortasi lapang</t>
        </is>
      </c>
      <c r="I78" s="171" t="n"/>
      <c r="J78" s="172" t="n"/>
    </row>
    <row r="79" ht="18" customHeight="1">
      <c r="A79" s="187" t="n">
        <v>6</v>
      </c>
      <c r="B79" s="188" t="inlineStr">
        <is>
          <t>APD: sepatu boot, sarung tangan, masker</t>
        </is>
      </c>
      <c r="C79" s="399" t="n">
        <v>4</v>
      </c>
      <c r="D79" s="187" t="inlineStr">
        <is>
          <t>set</t>
        </is>
      </c>
      <c r="E79" s="183" t="n">
        <v>100000</v>
      </c>
      <c r="F79" s="184" t="n">
        <v>400000</v>
      </c>
      <c r="G79" s="400" t="inlineStr">
        <is>
          <t>Fase 1</t>
        </is>
      </c>
      <c r="H79" s="190" t="inlineStr">
        <is>
          <t>Keselamatan kerja</t>
        </is>
      </c>
      <c r="I79" s="171" t="n"/>
      <c r="J79" s="172" t="n"/>
    </row>
    <row r="80" ht="18" customHeight="1">
      <c r="A80" s="390" t="n">
        <v>7</v>
      </c>
      <c r="B80" s="391" t="inlineStr">
        <is>
          <t>Keranjang panen (panen tiap 3–4 hari)</t>
        </is>
      </c>
      <c r="C80" s="392" t="n">
        <v>30</v>
      </c>
      <c r="D80" s="390" t="inlineStr">
        <is>
          <t>pcs</t>
        </is>
      </c>
      <c r="E80" s="183" t="n">
        <v>30000</v>
      </c>
      <c r="F80" s="184" t="n">
        <v>900000</v>
      </c>
      <c r="G80" s="400" t="inlineStr">
        <is>
          <t>Fase 1</t>
        </is>
      </c>
      <c r="H80" s="394" t="inlineStr">
        <is>
          <t>Cabai panen 20+ ronde. Perlu banyak keranjang</t>
        </is>
      </c>
      <c r="I80" s="171" t="n"/>
      <c r="J80" s="172" t="n"/>
    </row>
    <row r="81" ht="18" customHeight="1">
      <c r="A81" s="187" t="n">
        <v>8</v>
      </c>
      <c r="B81" s="188" t="inlineStr">
        <is>
          <t>Cooler box 30L (ekspor segar)</t>
        </is>
      </c>
      <c r="C81" s="399" t="n">
        <v>20</v>
      </c>
      <c r="D81" s="187" t="inlineStr">
        <is>
          <t>unit</t>
        </is>
      </c>
      <c r="E81" s="183" t="n">
        <v>50000</v>
      </c>
      <c r="F81" s="184" t="n">
        <v>1000000</v>
      </c>
      <c r="G81" s="400" t="inlineStr">
        <is>
          <t>Fase 1</t>
        </is>
      </c>
      <c r="H81" s="190" t="inlineStr">
        <is>
          <t>Cold chain wajib untuk ekspor segar</t>
        </is>
      </c>
      <c r="I81" s="171" t="n"/>
      <c r="J81" s="172" t="n"/>
    </row>
    <row r="82" ht="18" customHeight="1">
      <c r="A82" s="390" t="n">
        <v>9</v>
      </c>
      <c r="B82" s="391" t="inlineStr">
        <is>
          <t>Gunting panen stainless</t>
        </is>
      </c>
      <c r="C82" s="392" t="n">
        <v>15</v>
      </c>
      <c r="D82" s="390" t="inlineStr">
        <is>
          <t>pcs</t>
        </is>
      </c>
      <c r="E82" s="183" t="n">
        <v>25000</v>
      </c>
      <c r="F82" s="184" t="n">
        <v>375000</v>
      </c>
      <c r="G82" s="400" t="inlineStr">
        <is>
          <t>Fase 1</t>
        </is>
      </c>
      <c r="H82" s="394" t="inlineStr">
        <is>
          <t>Potong tangkai, bukan dicabut!</t>
        </is>
      </c>
      <c r="I82" s="171" t="n"/>
      <c r="J82" s="172" t="n"/>
    </row>
    <row r="83" ht="20" customHeight="1">
      <c r="A83" s="454" t="inlineStr">
        <is>
          <t xml:space="preserve">  ▶ SUBTOTAL: ALAT &amp; PERLENGKAPAN</t>
        </is>
      </c>
      <c r="B83" s="178" t="n"/>
      <c r="C83" s="178" t="n"/>
      <c r="D83" s="178" t="n"/>
      <c r="E83" s="178" t="n"/>
      <c r="F83" s="455" t="n">
        <v>5305000</v>
      </c>
      <c r="G83" s="456" t="n"/>
      <c r="H83" s="178" t="n"/>
      <c r="I83" s="178" t="n"/>
      <c r="J83" s="179" t="n"/>
    </row>
    <row r="84"/>
    <row r="85" ht="20" customHeight="1">
      <c r="A85" s="385" t="inlineStr">
        <is>
          <t xml:space="preserve">  F. TENAGA KERJA LOKAL — SISTEM GAJI ADVANCE (dipotong dari porsi 40% saat panen)</t>
        </is>
      </c>
      <c r="B85" s="171" t="n"/>
      <c r="C85" s="171" t="n"/>
      <c r="D85" s="171" t="n"/>
      <c r="E85" s="171" t="n"/>
      <c r="F85" s="171" t="n"/>
      <c r="G85" s="171" t="n"/>
      <c r="H85" s="171" t="n"/>
      <c r="I85" s="171" t="n"/>
      <c r="J85" s="172" t="n"/>
    </row>
    <row r="86" ht="30" customHeight="1">
      <c r="A86" s="408" t="inlineStr">
        <is>
          <t xml:space="preserve">  ⚠️  SEMUA gaji di bawah ini = ADVANCE PAYMENT. Dibayar selama masa tanam dari modal yayasan. Total advance Rp 46,300,000 akan dipotong dari porsi 40% (= Rp 632,500,000) saat panen. Bonus panen per kelompok tenaga = Rp 586,200,000</t>
        </is>
      </c>
      <c r="B86" s="171" t="n"/>
      <c r="C86" s="171" t="n"/>
      <c r="D86" s="171" t="n"/>
      <c r="E86" s="171" t="n"/>
      <c r="F86" s="171" t="n"/>
      <c r="G86" s="171" t="n"/>
      <c r="H86" s="171" t="n"/>
      <c r="I86" s="171" t="n"/>
      <c r="J86" s="172" t="n"/>
    </row>
    <row r="87" ht="26" customHeight="1">
      <c r="A87" s="450" t="inlineStr">
        <is>
          <t>No</t>
        </is>
      </c>
      <c r="B87" s="451" t="inlineStr">
        <is>
          <t>Uraian Pekerjaan / Item</t>
        </is>
      </c>
      <c r="C87" s="452" t="inlineStr">
        <is>
          <t>Vol</t>
        </is>
      </c>
      <c r="D87" s="452" t="inlineStr">
        <is>
          <t>Sat</t>
        </is>
      </c>
      <c r="E87" s="452" t="inlineStr">
        <is>
          <t>Harga Sat (Rp)</t>
        </is>
      </c>
      <c r="F87" s="452" t="inlineStr">
        <is>
          <t>Total (Rp)</t>
        </is>
      </c>
      <c r="G87" s="452" t="inlineStr">
        <is>
          <t>Fase</t>
        </is>
      </c>
      <c r="H87" s="453" t="inlineStr">
        <is>
          <t>Keterangan</t>
        </is>
      </c>
      <c r="I87" s="178" t="n"/>
      <c r="J87" s="179" t="n"/>
    </row>
    <row r="88" ht="18" customHeight="1">
      <c r="A88" s="390" t="n">
        <v>1</v>
      </c>
      <c r="B88" s="391" t="inlineStr">
        <is>
          <t>Persemaian intensif (2 org × 5 hari)</t>
        </is>
      </c>
      <c r="C88" s="392" t="n">
        <v>10</v>
      </c>
      <c r="D88" s="390" t="inlineStr">
        <is>
          <t>HOK</t>
        </is>
      </c>
      <c r="E88" s="183" t="n">
        <v>150000</v>
      </c>
      <c r="F88" s="401" t="n">
        <v>1500000</v>
      </c>
      <c r="G88" s="393" t="inlineStr">
        <is>
          <t>Fase 0</t>
        </is>
      </c>
      <c r="H88" s="394" t="inlineStr">
        <is>
          <t>ADVANCE. Cabai semai 30 hari sebelum tanam</t>
        </is>
      </c>
      <c r="I88" s="171" t="n"/>
      <c r="J88" s="172" t="n"/>
    </row>
    <row r="89" ht="18" customHeight="1">
      <c r="A89" s="187" t="n">
        <v>2</v>
      </c>
      <c r="B89" s="409" t="inlineStr">
        <is>
          <t>Tanam + pasang ajir (8 org × 4 hari)</t>
        </is>
      </c>
      <c r="C89" s="399" t="n">
        <v>32</v>
      </c>
      <c r="D89" s="187" t="inlineStr">
        <is>
          <t>HOK</t>
        </is>
      </c>
      <c r="E89" s="183" t="n">
        <v>150000</v>
      </c>
      <c r="F89" s="401" t="n">
        <v>4800000</v>
      </c>
      <c r="G89" s="400" t="inlineStr">
        <is>
          <t>Fase 1</t>
        </is>
      </c>
      <c r="H89" s="190" t="inlineStr">
        <is>
          <t>ADVANCE. Padat karya: tanam+ajir+ikat</t>
        </is>
      </c>
      <c r="I89" s="171" t="n"/>
      <c r="J89" s="172" t="n"/>
    </row>
    <row r="90" ht="18" customHeight="1">
      <c r="A90" s="390" t="n">
        <v>3</v>
      </c>
      <c r="B90" s="405" t="inlineStr">
        <is>
          <t>Perawatan intensif — 3 org × 4 bln</t>
        </is>
      </c>
      <c r="C90" s="392" t="n">
        <v>3</v>
      </c>
      <c r="D90" s="390" t="inlineStr">
        <is>
          <t>org/bln</t>
        </is>
      </c>
      <c r="E90" s="183" t="n">
        <v>2000000</v>
      </c>
      <c r="F90" s="401" t="n">
        <v>24000000</v>
      </c>
      <c r="G90" s="406" t="inlineStr">
        <is>
          <t>Rutin</t>
        </is>
      </c>
      <c r="H90" s="394" t="inlineStr">
        <is>
          <t>ADVANCE. SANGAT intensif: semprot 3×/mgg, ikat, pangkas</t>
        </is>
      </c>
      <c r="I90" s="171" t="n"/>
      <c r="J90" s="172" t="n"/>
    </row>
    <row r="91" ht="18" customHeight="1">
      <c r="A91" s="187" t="n">
        <v>4</v>
      </c>
      <c r="B91" s="409" t="inlineStr">
        <is>
          <t>Panen bertahap — 4 org × 20 ronde</t>
        </is>
      </c>
      <c r="C91" s="399" t="n">
        <v>80</v>
      </c>
      <c r="D91" s="187" t="inlineStr">
        <is>
          <t>HOK</t>
        </is>
      </c>
      <c r="E91" s="183" t="n">
        <v>150000</v>
      </c>
      <c r="F91" s="401" t="n">
        <v>12000000</v>
      </c>
      <c r="G91" s="406" t="inlineStr">
        <is>
          <t>Rutin</t>
        </is>
      </c>
      <c r="H91" s="190" t="inlineStr">
        <is>
          <t>ADVANCE. Panen tiap 3–4 hari × 20 ronde</t>
        </is>
      </c>
      <c r="I91" s="171" t="n"/>
      <c r="J91" s="172" t="n"/>
    </row>
    <row r="92" ht="18" customHeight="1">
      <c r="A92" s="390" t="n">
        <v>5</v>
      </c>
      <c r="B92" s="391" t="inlineStr">
        <is>
          <t>Koordinator &amp; monitoring harga (4 bln)</t>
        </is>
      </c>
      <c r="C92" s="392" t="n">
        <v>4</v>
      </c>
      <c r="D92" s="390" t="inlineStr">
        <is>
          <t>bln</t>
        </is>
      </c>
      <c r="E92" s="183" t="n">
        <v>1000000</v>
      </c>
      <c r="F92" s="401" t="n">
        <v>4000000</v>
      </c>
      <c r="G92" s="406" t="inlineStr">
        <is>
          <t>Rutin</t>
        </is>
      </c>
      <c r="H92" s="394" t="inlineStr">
        <is>
          <t>ADVANCE. Pantau harga harian, cabai sangat fluktuatif</t>
        </is>
      </c>
      <c r="I92" s="171" t="n"/>
      <c r="J92" s="172" t="n"/>
    </row>
    <row r="93" ht="20" customHeight="1">
      <c r="A93" s="410" t="inlineStr">
        <is>
          <t xml:space="preserve">  ▶ TOTAL ADVANCE GAJI (dibayar selama masa tanam)</t>
        </is>
      </c>
      <c r="B93" s="178" t="n"/>
      <c r="C93" s="178" t="n"/>
      <c r="D93" s="178" t="n"/>
      <c r="E93" s="178" t="n"/>
      <c r="F93" s="411" t="n">
        <v>46300000</v>
      </c>
      <c r="G93" s="412" t="inlineStr">
        <is>
          <t>Dipotong dari Porsi 40% = Rp 632,500,000. Sisa bonus tunai = Rp 586,200,000</t>
        </is>
      </c>
      <c r="H93" s="178" t="n"/>
      <c r="I93" s="178" t="n"/>
      <c r="J93" s="179" t="n"/>
    </row>
    <row r="94"/>
    <row r="95" ht="20" customHeight="1">
      <c r="A95" s="385" t="inlineStr">
        <is>
          <t xml:space="preserve">  G. PASCA PANEN, PENGOLAHAN &amp; PERSIAPAN EKSPOR</t>
        </is>
      </c>
      <c r="B95" s="171" t="n"/>
      <c r="C95" s="171" t="n"/>
      <c r="D95" s="171" t="n"/>
      <c r="E95" s="171" t="n"/>
      <c r="F95" s="171" t="n"/>
      <c r="G95" s="171" t="n"/>
      <c r="H95" s="171" t="n"/>
      <c r="I95" s="171" t="n"/>
      <c r="J95" s="172" t="n"/>
    </row>
    <row r="96" ht="26" customHeight="1">
      <c r="A96" s="450" t="inlineStr">
        <is>
          <t>No</t>
        </is>
      </c>
      <c r="B96" s="451" t="inlineStr">
        <is>
          <t>Uraian Pekerjaan / Item</t>
        </is>
      </c>
      <c r="C96" s="452" t="inlineStr">
        <is>
          <t>Vol</t>
        </is>
      </c>
      <c r="D96" s="452" t="inlineStr">
        <is>
          <t>Sat</t>
        </is>
      </c>
      <c r="E96" s="452" t="inlineStr">
        <is>
          <t>Harga Sat (Rp)</t>
        </is>
      </c>
      <c r="F96" s="452" t="inlineStr">
        <is>
          <t>Total (Rp)</t>
        </is>
      </c>
      <c r="G96" s="452" t="inlineStr">
        <is>
          <t>Fase</t>
        </is>
      </c>
      <c r="H96" s="453" t="inlineStr">
        <is>
          <t>Keterangan</t>
        </is>
      </c>
      <c r="I96" s="178" t="n"/>
      <c r="J96" s="179" t="n"/>
    </row>
    <row r="97" ht="18" customHeight="1">
      <c r="A97" s="390" t="n">
        <v>1</v>
      </c>
      <c r="B97" s="391" t="inlineStr">
        <is>
          <t>Sortasi &amp; grading ekspor A/B/C</t>
        </is>
      </c>
      <c r="C97" s="392" t="n">
        <v>4</v>
      </c>
      <c r="D97" s="390" t="inlineStr">
        <is>
          <t>org/hari</t>
        </is>
      </c>
      <c r="E97" s="183" t="n">
        <v>150000</v>
      </c>
      <c r="F97" s="184" t="n">
        <v>600000</v>
      </c>
      <c r="G97" s="400" t="inlineStr">
        <is>
          <t>Fase 1</t>
        </is>
      </c>
      <c r="H97" s="394" t="inlineStr">
        <is>
          <t>Ekspor: merah merata, &gt;10cm, bebas cacat</t>
        </is>
      </c>
      <c r="I97" s="171" t="n"/>
      <c r="J97" s="172" t="n"/>
    </row>
    <row r="98" ht="18" customHeight="1">
      <c r="A98" s="187" t="n">
        <v>2</v>
      </c>
      <c r="B98" s="188" t="inlineStr">
        <is>
          <t>Packaging kardus berlapis lilin 10kg</t>
        </is>
      </c>
      <c r="C98" s="399" t="n">
        <v>875</v>
      </c>
      <c r="D98" s="187" t="inlineStr">
        <is>
          <t>kardus</t>
        </is>
      </c>
      <c r="E98" s="183" t="n">
        <v>5000</v>
      </c>
      <c r="F98" s="184" t="n">
        <v>4375000</v>
      </c>
      <c r="G98" s="400" t="inlineStr">
        <is>
          <t>Fase 1</t>
        </is>
      </c>
      <c r="H98" s="190" t="inlineStr">
        <is>
          <t>~8.750kg ekspor = 875 box</t>
        </is>
      </c>
      <c r="I98" s="171" t="n"/>
      <c r="J98" s="172" t="n"/>
    </row>
    <row r="99" ht="18" customHeight="1">
      <c r="A99" s="390" t="n">
        <v>3</v>
      </c>
      <c r="B99" s="391" t="inlineStr">
        <is>
          <t>Cold storage pre-cooling (10–12°C)</t>
        </is>
      </c>
      <c r="C99" s="392" t="n">
        <v>3</v>
      </c>
      <c r="D99" s="390" t="inlineStr">
        <is>
          <t>hari</t>
        </is>
      </c>
      <c r="E99" s="183" t="n">
        <v>500000</v>
      </c>
      <c r="F99" s="184" t="n">
        <v>1500000</v>
      </c>
      <c r="G99" s="400" t="inlineStr">
        <is>
          <t>Fase 1</t>
        </is>
      </c>
      <c r="H99" s="394" t="inlineStr">
        <is>
          <t>Sebelum stuffing kontainer reefer</t>
        </is>
      </c>
      <c r="I99" s="171" t="n"/>
      <c r="J99" s="172" t="n"/>
    </row>
    <row r="100" ht="18" customHeight="1">
      <c r="A100" s="187" t="n">
        <v>4</v>
      </c>
      <c r="B100" s="188" t="inlineStr">
        <is>
          <t>MRL test (residu pestisida) — wajib SG/MY</t>
        </is>
      </c>
      <c r="C100" s="399" t="n">
        <v>2</v>
      </c>
      <c r="D100" s="187" t="inlineStr">
        <is>
          <t>sampel</t>
        </is>
      </c>
      <c r="E100" s="183" t="n">
        <v>2000000</v>
      </c>
      <c r="F100" s="184" t="n">
        <v>4000000</v>
      </c>
      <c r="G100" s="400" t="inlineStr">
        <is>
          <t>Fase 1</t>
        </is>
      </c>
      <c r="H100" s="190" t="inlineStr">
        <is>
          <t>SG &amp; Malaysia sangat ketat. Lab BPOM/SGS</t>
        </is>
      </c>
      <c r="I100" s="171" t="n"/>
      <c r="J100" s="172" t="n"/>
    </row>
    <row r="101" ht="18" customHeight="1">
      <c r="A101" s="390" t="n">
        <v>5</v>
      </c>
      <c r="B101" s="391" t="inlineStr">
        <is>
          <t>Phytosanitary + karantina lalat buah</t>
        </is>
      </c>
      <c r="C101" s="392" t="n">
        <v>1</v>
      </c>
      <c r="D101" s="390" t="inlineStr">
        <is>
          <t>sertifikat</t>
        </is>
      </c>
      <c r="E101" s="183" t="n">
        <v>2000000</v>
      </c>
      <c r="F101" s="184" t="n">
        <v>2000000</v>
      </c>
      <c r="G101" s="400" t="inlineStr">
        <is>
          <t>Fase 1</t>
        </is>
      </c>
      <c r="H101" s="394" t="inlineStr">
        <is>
          <t>Bebas Bactrocera = syarat wajib</t>
        </is>
      </c>
      <c r="I101" s="171" t="n"/>
      <c r="J101" s="172" t="n"/>
    </row>
    <row r="102" ht="18" customHeight="1">
      <c r="A102" s="187" t="n">
        <v>6</v>
      </c>
      <c r="B102" s="188" t="inlineStr">
        <is>
          <t>Freight reefer truck ke pelabuhan</t>
        </is>
      </c>
      <c r="C102" s="399" t="n">
        <v>1</v>
      </c>
      <c r="D102" s="187" t="inlineStr">
        <is>
          <t>paket</t>
        </is>
      </c>
      <c r="E102" s="183" t="n">
        <v>5000000</v>
      </c>
      <c r="F102" s="184" t="n">
        <v>5000000</v>
      </c>
      <c r="G102" s="400" t="inlineStr">
        <is>
          <t>Fase 1</t>
        </is>
      </c>
      <c r="H102" s="190" t="inlineStr">
        <is>
          <t>Tanjung Priok → SG/Malaysia via reefer</t>
        </is>
      </c>
      <c r="I102" s="171" t="n"/>
      <c r="J102" s="172" t="n"/>
    </row>
    <row r="103" ht="20" customHeight="1">
      <c r="A103" s="454" t="inlineStr">
        <is>
          <t xml:space="preserve">  ▶ SUBTOTAL: PASCA PANEN &amp; EKSPOR</t>
        </is>
      </c>
      <c r="B103" s="178" t="n"/>
      <c r="C103" s="178" t="n"/>
      <c r="D103" s="178" t="n"/>
      <c r="E103" s="178" t="n"/>
      <c r="F103" s="455" t="n">
        <v>17475000</v>
      </c>
      <c r="G103" s="456" t="n"/>
      <c r="H103" s="178" t="n"/>
      <c r="I103" s="178" t="n"/>
      <c r="J103" s="179" t="n"/>
    </row>
    <row r="104"/>
    <row r="105" ht="34" customHeight="1">
      <c r="A105" s="457" t="inlineStr">
        <is>
          <t xml:space="preserve">  🏆 GRAND TOTAL INVESTASI — CABAI MERAH BESAR 1 HA</t>
        </is>
      </c>
      <c r="B105" s="200" t="n"/>
      <c r="C105" s="200" t="n"/>
      <c r="D105" s="200" t="n"/>
      <c r="E105" s="200" t="n"/>
      <c r="F105" s="458" t="n">
        <v>195500000</v>
      </c>
      <c r="G105" s="459" t="inlineStr">
        <is>
          <t>ROI Donatur: 80.9% | Bonus Tenaga: Rp 586,200,000 | Anak Binaan: Rp 47,437,500</t>
        </is>
      </c>
      <c r="H105" s="200" t="n"/>
      <c r="I105" s="200" t="n"/>
      <c r="J105" s="203" t="n"/>
    </row>
    <row r="106"/>
    <row r="107">
      <c r="A107" s="416" t="inlineStr">
        <is>
          <t xml:space="preserve">  🌏 EKSPOR &amp; STANDAR KUALITAS</t>
        </is>
      </c>
      <c r="B107" s="171" t="n"/>
      <c r="C107" s="171" t="n"/>
      <c r="D107" s="171" t="n"/>
      <c r="E107" s="171" t="n"/>
      <c r="F107" s="171" t="n"/>
      <c r="G107" s="171" t="n"/>
      <c r="H107" s="171" t="n"/>
      <c r="I107" s="171" t="n"/>
      <c r="J107" s="172" t="n"/>
    </row>
    <row r="108" ht="52" customHeight="1">
      <c r="A108" s="417" t="inlineStr">
        <is>
          <t>CABAI MERAH | MRL sesuai Codex, bebas lalat buah | Harga FOB USD 1.500–3.000/ton segar = Rp 90.000–180.000/kg
Target: Singapura (premium segar), Malaysia, Timur Tengah (kering/flakes) | HARGA SANGAT VOLATIL — kontrak forward dianjurkan</t>
        </is>
      </c>
      <c r="B108" s="171" t="n"/>
      <c r="C108" s="171" t="n"/>
      <c r="D108" s="171" t="n"/>
      <c r="E108" s="171" t="n"/>
      <c r="F108" s="171" t="n"/>
      <c r="G108" s="171" t="n"/>
      <c r="H108" s="171" t="n"/>
      <c r="I108" s="171" t="n"/>
      <c r="J108" s="172" t="n"/>
    </row>
  </sheetData>
  <mergeCells count="116">
    <mergeCell ref="A39:E39"/>
    <mergeCell ref="A17:G17"/>
    <mergeCell ref="A103:E103"/>
    <mergeCell ref="H17:J17"/>
    <mergeCell ref="H100:J100"/>
    <mergeCell ref="H69:J69"/>
    <mergeCell ref="H11:J11"/>
    <mergeCell ref="A9:G9"/>
    <mergeCell ref="H22:J22"/>
    <mergeCell ref="H66:J66"/>
    <mergeCell ref="H75:J75"/>
    <mergeCell ref="A11:G11"/>
    <mergeCell ref="A105:E105"/>
    <mergeCell ref="A57:E57"/>
    <mergeCell ref="H5:J5"/>
    <mergeCell ref="H92:J92"/>
    <mergeCell ref="H97:J97"/>
    <mergeCell ref="G57:J57"/>
    <mergeCell ref="H29:J29"/>
    <mergeCell ref="H78:J78"/>
    <mergeCell ref="H38:J38"/>
    <mergeCell ref="H44:J44"/>
    <mergeCell ref="A93:E93"/>
    <mergeCell ref="A95:J95"/>
    <mergeCell ref="H64:J64"/>
    <mergeCell ref="H21:J21"/>
    <mergeCell ref="H73:J73"/>
    <mergeCell ref="H51:J51"/>
    <mergeCell ref="A83:E83"/>
    <mergeCell ref="A32:J32"/>
    <mergeCell ref="H60:J60"/>
    <mergeCell ref="A8:G8"/>
    <mergeCell ref="A4:J4"/>
    <mergeCell ref="H7:J7"/>
    <mergeCell ref="H16:J16"/>
    <mergeCell ref="H99:J99"/>
    <mergeCell ref="H27:J27"/>
    <mergeCell ref="H101:J101"/>
    <mergeCell ref="H77:J77"/>
    <mergeCell ref="H33:J33"/>
    <mergeCell ref="G70:J70"/>
    <mergeCell ref="H35:J35"/>
    <mergeCell ref="H67:J67"/>
    <mergeCell ref="A108:J108"/>
    <mergeCell ref="A12:G12"/>
    <mergeCell ref="A2:J2"/>
    <mergeCell ref="A86:J86"/>
    <mergeCell ref="A42:J42"/>
    <mergeCell ref="A5:G5"/>
    <mergeCell ref="A14:G14"/>
    <mergeCell ref="H46:J46"/>
    <mergeCell ref="H89:J89"/>
    <mergeCell ref="H98:J98"/>
    <mergeCell ref="H52:J52"/>
    <mergeCell ref="H79:J79"/>
    <mergeCell ref="H61:J61"/>
    <mergeCell ref="H88:J88"/>
    <mergeCell ref="A20:J20"/>
    <mergeCell ref="A72:J72"/>
    <mergeCell ref="H45:J45"/>
    <mergeCell ref="H81:J81"/>
    <mergeCell ref="H90:J90"/>
    <mergeCell ref="H13:J13"/>
    <mergeCell ref="H65:J65"/>
    <mergeCell ref="H47:J47"/>
    <mergeCell ref="A59:J59"/>
    <mergeCell ref="H87:J87"/>
    <mergeCell ref="H15:J15"/>
    <mergeCell ref="A107:J107"/>
    <mergeCell ref="H24:J24"/>
    <mergeCell ref="H18:J18"/>
    <mergeCell ref="H76:J76"/>
    <mergeCell ref="G39:J39"/>
    <mergeCell ref="H8:J8"/>
    <mergeCell ref="A16:G16"/>
    <mergeCell ref="H26:J26"/>
    <mergeCell ref="H82:J82"/>
    <mergeCell ref="H53:J53"/>
    <mergeCell ref="G103:J103"/>
    <mergeCell ref="A41:J41"/>
    <mergeCell ref="H63:J63"/>
    <mergeCell ref="A18:G18"/>
    <mergeCell ref="H50:J50"/>
    <mergeCell ref="H102:J102"/>
    <mergeCell ref="H55:J55"/>
    <mergeCell ref="H34:J34"/>
    <mergeCell ref="H9:J9"/>
    <mergeCell ref="A30:E30"/>
    <mergeCell ref="A85:J85"/>
    <mergeCell ref="H49:J49"/>
    <mergeCell ref="H36:J36"/>
    <mergeCell ref="A70:E70"/>
    <mergeCell ref="A13:G13"/>
    <mergeCell ref="H28:J28"/>
    <mergeCell ref="H80:J80"/>
    <mergeCell ref="H37:J37"/>
    <mergeCell ref="G105:J105"/>
    <mergeCell ref="H12:J12"/>
    <mergeCell ref="A15:G15"/>
    <mergeCell ref="H96:J96"/>
    <mergeCell ref="H48:J48"/>
    <mergeCell ref="A1:J1"/>
    <mergeCell ref="H62:J62"/>
    <mergeCell ref="H14:J14"/>
    <mergeCell ref="H23:J23"/>
    <mergeCell ref="A7:G7"/>
    <mergeCell ref="H91:J91"/>
    <mergeCell ref="H43:J43"/>
    <mergeCell ref="G93:J93"/>
    <mergeCell ref="H54:J54"/>
    <mergeCell ref="G83:J83"/>
    <mergeCell ref="G30:J30"/>
    <mergeCell ref="H74:J74"/>
    <mergeCell ref="H56:J56"/>
    <mergeCell ref="H68:J68"/>
    <mergeCell ref="H25:J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460" t="inlineStr">
        <is>
          <t>🌾 PAKET INVESTASI — SEREH WANGI  |  3 Bulan pertama (panen tiap 3–4 bln, perennial 5 tahun)  |  🌏 PLAN A: EKSPOR</t>
        </is>
      </c>
    </row>
    <row r="2" ht="18" customHeight="1">
      <c r="A2" s="461" t="inlineStr">
        <is>
          <t>Hasil: 30,000 kg/ha  ·  kg batang segar/ha/tahun (4–5× panen)  ·  Harga Lokal Rp 3,000  ·  Harga Ekspor Rp 25000/kg</t>
        </is>
      </c>
    </row>
    <row r="3" ht="24" customHeight="1">
      <c r="A3" s="462" t="inlineStr">
        <is>
          <t xml:space="preserve">  🌏 JALUR A — EKSPOR: Rempah bernilai tinggi. Target pasar internasional. Harga premium. Butuh sertifikasi.</t>
        </is>
      </c>
      <c r="B3" s="171" t="n"/>
      <c r="C3" s="171" t="n"/>
      <c r="D3" s="171" t="n"/>
      <c r="E3" s="171" t="n"/>
      <c r="F3" s="463" t="inlineStr">
        <is>
          <t>Komoditi ini tidak habis di pasar lokal — fokus ekspor untuk margin max.</t>
        </is>
      </c>
      <c r="G3" s="171" t="n"/>
      <c r="H3" s="171" t="n"/>
      <c r="I3" s="171" t="n"/>
      <c r="J3" s="172" t="n"/>
    </row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64" t="inlineStr">
        <is>
          <t xml:space="preserve">  GRAND TOTAL INVESTASI</t>
        </is>
      </c>
      <c r="B5" s="171" t="n"/>
      <c r="C5" s="171" t="n"/>
      <c r="D5" s="171" t="n"/>
      <c r="E5" s="171" t="n"/>
      <c r="F5" s="171" t="n"/>
      <c r="G5" s="171" t="n"/>
      <c r="H5" s="465" t="n">
        <v>143530000</v>
      </c>
      <c r="I5" s="171" t="n"/>
      <c r="J5" s="172" t="n"/>
    </row>
    <row r="6"/>
    <row r="7" ht="20" customHeight="1">
      <c r="A7" s="466" t="inlineStr">
        <is>
          <t xml:space="preserve">  Est. Revenue (Mix 30% lokal / 70% ekspor)</t>
        </is>
      </c>
      <c r="B7" s="171" t="n"/>
      <c r="C7" s="171" t="n"/>
      <c r="D7" s="171" t="n"/>
      <c r="E7" s="171" t="n"/>
      <c r="F7" s="171" t="n"/>
      <c r="G7" s="171" t="n"/>
      <c r="H7" s="467" t="n">
        <v>552000000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36,000,000)</t>
        </is>
      </c>
      <c r="I8" s="171" t="n"/>
      <c r="J8" s="172" t="n"/>
    </row>
    <row r="9" ht="20" customHeight="1">
      <c r="A9" s="368" t="inlineStr">
        <is>
          <t xml:space="preserve">  SISA BERSIH — Dasar Bagi Hasil</t>
        </is>
      </c>
      <c r="B9" s="171" t="n"/>
      <c r="C9" s="171" t="n"/>
      <c r="D9" s="171" t="n"/>
      <c r="E9" s="171" t="n"/>
      <c r="F9" s="171" t="n"/>
      <c r="G9" s="171" t="n"/>
      <c r="H9" s="369" t="n">
        <v>516000000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206400000</v>
      </c>
      <c r="I11" s="171" t="n"/>
      <c r="J11" s="172" t="n"/>
    </row>
    <row r="12" ht="20" customHeight="1">
      <c r="A12" s="372" t="inlineStr">
        <is>
          <t xml:space="preserve">  💰 Donatur 10%  →  ROI Donatur 36.0%</t>
        </is>
      </c>
      <c r="B12" s="171" t="n"/>
      <c r="C12" s="171" t="n"/>
      <c r="D12" s="171" t="n"/>
      <c r="E12" s="171" t="n"/>
      <c r="F12" s="171" t="n"/>
      <c r="G12" s="171" t="n"/>
      <c r="H12" s="373" t="n">
        <v>51600000</v>
      </c>
      <c r="I12" s="171" t="n"/>
      <c r="J12" s="172" t="n"/>
    </row>
    <row r="13" ht="20" customHeight="1">
      <c r="A13" s="366" t="inlineStr">
        <is>
          <t xml:space="preserve">  👷 Tenaga Lokal 40%</t>
        </is>
      </c>
      <c r="B13" s="171" t="n"/>
      <c r="C13" s="171" t="n"/>
      <c r="D13" s="171" t="n"/>
      <c r="E13" s="171" t="n"/>
      <c r="F13" s="171" t="n"/>
      <c r="G13" s="171" t="n"/>
      <c r="H13" s="376" t="n">
        <v>206400000</v>
      </c>
      <c r="I13" s="171" t="n"/>
      <c r="J13" s="172" t="n"/>
    </row>
    <row r="14" ht="20" customHeight="1">
      <c r="A14" s="377" t="inlineStr">
        <is>
          <t xml:space="preserve">    → Advance gaji sudah dibayar</t>
        </is>
      </c>
      <c r="B14" s="171" t="n"/>
      <c r="C14" s="171" t="n"/>
      <c r="D14" s="171" t="n"/>
      <c r="E14" s="171" t="n"/>
      <c r="F14" s="171" t="n"/>
      <c r="G14" s="171" t="n"/>
      <c r="H14" s="378" t="inlineStr">
        <is>
          <t>(Rp 45,000,000)</t>
        </is>
      </c>
      <c r="I14" s="171" t="n"/>
      <c r="J14" s="172" t="n"/>
    </row>
    <row r="15" ht="20" customHeight="1">
      <c r="A15" s="379" t="inlineStr">
        <is>
          <t xml:space="preserve">    → BONUS PANEN tunai</t>
        </is>
      </c>
      <c r="B15" s="171" t="n"/>
      <c r="C15" s="171" t="n"/>
      <c r="D15" s="171" t="n"/>
      <c r="E15" s="171" t="n"/>
      <c r="F15" s="171" t="n"/>
      <c r="G15" s="171" t="n"/>
      <c r="H15" s="380" t="n">
        <v>161400000</v>
      </c>
      <c r="I15" s="171" t="n"/>
      <c r="J15" s="172" t="n"/>
    </row>
    <row r="16" ht="20" customHeight="1">
      <c r="A16" s="381" t="inlineStr">
        <is>
          <t xml:space="preserve">  👦 Anak Binaan avg 3%</t>
        </is>
      </c>
      <c r="B16" s="171" t="n"/>
      <c r="C16" s="171" t="n"/>
      <c r="D16" s="171" t="n"/>
      <c r="E16" s="171" t="n"/>
      <c r="F16" s="171" t="n"/>
      <c r="G16" s="171" t="n"/>
      <c r="H16" s="382" t="n">
        <v>15480000</v>
      </c>
      <c r="I16" s="171" t="n"/>
      <c r="J16" s="172" t="n"/>
    </row>
    <row r="17" ht="20" customHeight="1">
      <c r="A17" s="383" t="inlineStr">
        <is>
          <t xml:space="preserve">  🎯 Fee Manajemen 10%</t>
        </is>
      </c>
      <c r="B17" s="171" t="n"/>
      <c r="C17" s="171" t="n"/>
      <c r="D17" s="171" t="n"/>
      <c r="E17" s="171" t="n"/>
      <c r="F17" s="171" t="n"/>
      <c r="G17" s="171" t="n"/>
      <c r="H17" s="384" t="n">
        <v>51600000</v>
      </c>
      <c r="I17" s="171" t="n"/>
      <c r="J17" s="172" t="n"/>
    </row>
    <row r="18"/>
    <row r="19" ht="20" customHeight="1">
      <c r="A19" s="385" t="inlineStr">
        <is>
          <t xml:space="preserve">  A. PERSIAPAN LAHAN (standar semua komoditi)</t>
        </is>
      </c>
      <c r="B19" s="171" t="n"/>
      <c r="C19" s="171" t="n"/>
      <c r="D19" s="171" t="n"/>
      <c r="E19" s="171" t="n"/>
      <c r="F19" s="171" t="n"/>
      <c r="G19" s="171" t="n"/>
      <c r="H19" s="171" t="n"/>
      <c r="I19" s="171" t="n"/>
      <c r="J19" s="172" t="n"/>
    </row>
    <row r="20" ht="26" customHeight="1">
      <c r="A20" s="468" t="inlineStr">
        <is>
          <t>No</t>
        </is>
      </c>
      <c r="B20" s="469" t="inlineStr">
        <is>
          <t>Uraian Pekerjaan / Item</t>
        </is>
      </c>
      <c r="C20" s="470" t="inlineStr">
        <is>
          <t>Vol</t>
        </is>
      </c>
      <c r="D20" s="470" t="inlineStr">
        <is>
          <t>Sat</t>
        </is>
      </c>
      <c r="E20" s="470" t="inlineStr">
        <is>
          <t>Harga Sat</t>
        </is>
      </c>
      <c r="F20" s="470" t="inlineStr">
        <is>
          <t>Total (Rp)</t>
        </is>
      </c>
      <c r="G20" s="470" t="inlineStr">
        <is>
          <t>Fase</t>
        </is>
      </c>
      <c r="H20" s="471" t="inlineStr">
        <is>
          <t>Keterangan</t>
        </is>
      </c>
      <c r="I20" s="178" t="n"/>
      <c r="J20" s="179" t="n"/>
    </row>
    <row r="21" ht="18" customHeight="1">
      <c r="A21" s="472" t="n">
        <v>1</v>
      </c>
      <c r="B21" s="473" t="inlineStr">
        <is>
          <t>Analisa tanah lab</t>
        </is>
      </c>
      <c r="C21" s="474" t="n">
        <v>1</v>
      </c>
      <c r="D21" s="474" t="inlineStr">
        <is>
          <t>paket</t>
        </is>
      </c>
      <c r="E21" s="183" t="n">
        <v>1500000</v>
      </c>
      <c r="F21" s="184" t="n">
        <v>1500000</v>
      </c>
      <c r="G21" s="393" t="inlineStr">
        <is>
          <t>Fase 0</t>
        </is>
      </c>
      <c r="H21" s="475" t="inlineStr">
        <is>
          <t>pH, NPK, tekstur</t>
        </is>
      </c>
      <c r="I21" s="171" t="n"/>
      <c r="J21" s="172" t="n"/>
    </row>
    <row r="22" ht="18" customHeight="1">
      <c r="A22" s="390" t="n">
        <v>2</v>
      </c>
      <c r="B22" s="476" t="inlineStr">
        <is>
          <t>Pembersihan lahan</t>
        </is>
      </c>
      <c r="C22" s="477" t="n">
        <v>10000</v>
      </c>
      <c r="D22" s="477" t="inlineStr">
        <is>
          <t>m²</t>
        </is>
      </c>
      <c r="E22" s="183" t="n">
        <v>500</v>
      </c>
      <c r="F22" s="401" t="n">
        <v>5000000</v>
      </c>
      <c r="G22" s="393" t="inlineStr">
        <is>
          <t>Fase 0</t>
        </is>
      </c>
      <c r="H22" s="394" t="inlineStr">
        <is>
          <t>ADVANCE</t>
        </is>
      </c>
      <c r="I22" s="171" t="n"/>
      <c r="J22" s="172" t="n"/>
    </row>
    <row r="23" ht="18" customHeight="1">
      <c r="A23" s="472" t="n">
        <v>3</v>
      </c>
      <c r="B23" s="473" t="inlineStr">
        <is>
          <t>Bajak &amp; gembur tanah</t>
        </is>
      </c>
      <c r="C23" s="474" t="n">
        <v>10000</v>
      </c>
      <c r="D23" s="474" t="inlineStr">
        <is>
          <t>m²</t>
        </is>
      </c>
      <c r="E23" s="183" t="n">
        <v>800</v>
      </c>
      <c r="F23" s="184" t="n">
        <v>8000000</v>
      </c>
      <c r="G23" s="393" t="inlineStr">
        <is>
          <t>Fase 0</t>
        </is>
      </c>
      <c r="H23" s="475" t="inlineStr">
        <is>
          <t>Mini traktor</t>
        </is>
      </c>
      <c r="I23" s="171" t="n"/>
      <c r="J23" s="172" t="n"/>
    </row>
    <row r="24" ht="18" customHeight="1">
      <c r="A24" s="187" t="n">
        <v>4</v>
      </c>
      <c r="B24" s="188" t="inlineStr">
        <is>
          <t>Dolomit / kaptan</t>
        </is>
      </c>
      <c r="C24" s="189" t="n">
        <v>2000</v>
      </c>
      <c r="D24" s="189" t="inlineStr">
        <is>
          <t>kg</t>
        </is>
      </c>
      <c r="E24" s="183" t="n">
        <v>1000</v>
      </c>
      <c r="F24" s="184" t="n">
        <v>2000000</v>
      </c>
      <c r="G24" s="393" t="inlineStr">
        <is>
          <t>Fase 0</t>
        </is>
      </c>
      <c r="H24" s="190" t="inlineStr">
        <is>
          <t>Target pH 6.0–6.5</t>
        </is>
      </c>
      <c r="I24" s="171" t="n"/>
      <c r="J24" s="172" t="n"/>
    </row>
    <row r="25" ht="18" customHeight="1">
      <c r="A25" s="472" t="n">
        <v>5</v>
      </c>
      <c r="B25" s="473" t="inlineStr">
        <is>
          <t>Bedengan + drainase</t>
        </is>
      </c>
      <c r="C25" s="474" t="n">
        <v>10000</v>
      </c>
      <c r="D25" s="474" t="inlineStr">
        <is>
          <t>m²</t>
        </is>
      </c>
      <c r="E25" s="183" t="n">
        <v>400</v>
      </c>
      <c r="F25" s="184" t="n">
        <v>4000000</v>
      </c>
      <c r="G25" s="393" t="inlineStr">
        <is>
          <t>Fase 0</t>
        </is>
      </c>
      <c r="H25" s="475" t="n"/>
      <c r="I25" s="171" t="n"/>
      <c r="J25" s="172" t="n"/>
    </row>
    <row r="26" ht="18" customHeight="1">
      <c r="A26" s="187" t="n">
        <v>6</v>
      </c>
      <c r="B26" s="188" t="inlineStr">
        <is>
          <t>Mulsa plastik HPP</t>
        </is>
      </c>
      <c r="C26" s="189" t="n">
        <v>100</v>
      </c>
      <c r="D26" s="189" t="inlineStr">
        <is>
          <t>roll</t>
        </is>
      </c>
      <c r="E26" s="183" t="n">
        <v>60000</v>
      </c>
      <c r="F26" s="184" t="n">
        <v>6000000</v>
      </c>
      <c r="G26" s="400" t="inlineStr">
        <is>
          <t>Fase 1</t>
        </is>
      </c>
      <c r="H26" s="190" t="inlineStr">
        <is>
          <t>Wajib untuk rempah &amp; cabai</t>
        </is>
      </c>
      <c r="I26" s="171" t="n"/>
      <c r="J26" s="172" t="n"/>
    </row>
    <row r="27" ht="18" customHeight="1">
      <c r="A27" s="472" t="n">
        <v>7</v>
      </c>
      <c r="B27" s="473" t="inlineStr">
        <is>
          <t>Jalan setapak sirtu</t>
        </is>
      </c>
      <c r="C27" s="474" t="n">
        <v>1</v>
      </c>
      <c r="D27" s="474" t="inlineStr">
        <is>
          <t>paket</t>
        </is>
      </c>
      <c r="E27" s="183" t="n">
        <v>3000000</v>
      </c>
      <c r="F27" s="184" t="n">
        <v>3000000</v>
      </c>
      <c r="G27" s="400" t="inlineStr">
        <is>
          <t>Fase 1</t>
        </is>
      </c>
      <c r="H27" s="475" t="n"/>
      <c r="I27" s="171" t="n"/>
      <c r="J27" s="172" t="n"/>
    </row>
    <row r="28" ht="18" customHeight="1">
      <c r="A28" s="390" t="n">
        <v>8</v>
      </c>
      <c r="B28" s="476" t="inlineStr">
        <is>
          <t>Gaji pekerja persiapan</t>
        </is>
      </c>
      <c r="C28" s="477" t="n">
        <v>15</v>
      </c>
      <c r="D28" s="477" t="inlineStr">
        <is>
          <t>HOK</t>
        </is>
      </c>
      <c r="E28" s="183" t="n">
        <v>150000</v>
      </c>
      <c r="F28" s="401" t="n">
        <v>2250000</v>
      </c>
      <c r="G28" s="393" t="inlineStr">
        <is>
          <t>Fase 0</t>
        </is>
      </c>
      <c r="H28" s="394" t="inlineStr">
        <is>
          <t>ADVANCE — dicatat per nama</t>
        </is>
      </c>
      <c r="I28" s="171" t="n"/>
      <c r="J28" s="172" t="n"/>
    </row>
    <row r="29" ht="20" customHeight="1">
      <c r="A29" s="478" t="inlineStr">
        <is>
          <t xml:space="preserve">  ▶ SUBTOTAL: PERSIAPAN LAHAN</t>
        </is>
      </c>
      <c r="B29" s="178" t="n"/>
      <c r="C29" s="178" t="n"/>
      <c r="D29" s="178" t="n"/>
      <c r="E29" s="178" t="n"/>
      <c r="F29" s="479" t="n">
        <v>31750000</v>
      </c>
      <c r="G29" s="480" t="n"/>
      <c r="H29" s="178" t="n"/>
      <c r="I29" s="178" t="n"/>
      <c r="J29" s="179" t="n"/>
    </row>
    <row r="30"/>
    <row r="31" ht="20" customHeight="1">
      <c r="A31" s="385" t="inlineStr">
        <is>
          <t xml:space="preserve">  B. PEMBIBITAN — Sereh Wangi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2" t="n"/>
    </row>
    <row r="32" ht="26" customHeight="1">
      <c r="A32" s="468" t="inlineStr">
        <is>
          <t>No</t>
        </is>
      </c>
      <c r="B32" s="469" t="inlineStr">
        <is>
          <t>Uraian Pekerjaan / Item</t>
        </is>
      </c>
      <c r="C32" s="470" t="inlineStr">
        <is>
          <t>Vol</t>
        </is>
      </c>
      <c r="D32" s="470" t="inlineStr">
        <is>
          <t>Sat</t>
        </is>
      </c>
      <c r="E32" s="470" t="inlineStr">
        <is>
          <t>Harga Sat</t>
        </is>
      </c>
      <c r="F32" s="470" t="inlineStr">
        <is>
          <t>Total (Rp)</t>
        </is>
      </c>
      <c r="G32" s="470" t="inlineStr">
        <is>
          <t>Fase</t>
        </is>
      </c>
      <c r="H32" s="471" t="inlineStr">
        <is>
          <t>Keterangan</t>
        </is>
      </c>
      <c r="I32" s="178" t="n"/>
      <c r="J32" s="179" t="n"/>
    </row>
    <row r="33" ht="18" customHeight="1">
      <c r="A33" s="472" t="n">
        <v>1</v>
      </c>
      <c r="B33" s="481" t="inlineStr">
        <is>
          <t>Bibit sereh wangi (stek/anakan)</t>
        </is>
      </c>
      <c r="C33" s="474" t="n">
        <v>20000</v>
      </c>
      <c r="D33" s="474" t="inlineStr">
        <is>
          <t>rumpun</t>
        </is>
      </c>
      <c r="E33" s="183" t="n">
        <v>500</v>
      </c>
      <c r="F33" s="184" t="n">
        <v>10000000</v>
      </c>
      <c r="G33" s="400" t="inlineStr">
        <is>
          <t>Fase 1</t>
        </is>
      </c>
      <c r="H33" s="475" t="inlineStr">
        <is>
          <t>Jarak tanam 50×50cm. 1 ha = 20.000 rumpun. Tanam sekali, panen 5 tahun</t>
        </is>
      </c>
      <c r="I33" s="171" t="n"/>
      <c r="J33" s="172" t="n"/>
    </row>
    <row r="34" ht="18" customHeight="1">
      <c r="A34" s="187" t="n">
        <v>2</v>
      </c>
      <c r="B34" s="188" t="inlineStr">
        <is>
          <t>Perlakuan akar (Rootone-F + Trichoderma)</t>
        </is>
      </c>
      <c r="C34" s="189" t="n">
        <v>2</v>
      </c>
      <c r="D34" s="189" t="inlineStr">
        <is>
          <t>kg</t>
        </is>
      </c>
      <c r="E34" s="183" t="n">
        <v>80000</v>
      </c>
      <c r="F34" s="184" t="n">
        <v>160000</v>
      </c>
      <c r="G34" s="400" t="inlineStr">
        <is>
          <t>Fase 1</t>
        </is>
      </c>
      <c r="H34" s="190" t="inlineStr">
        <is>
          <t>Rendam ujung stek 30 mnt. Percepat perakaran</t>
        </is>
      </c>
      <c r="I34" s="171" t="n"/>
      <c r="J34" s="172" t="n"/>
    </row>
    <row r="35" ht="20" customHeight="1">
      <c r="A35" s="478" t="inlineStr">
        <is>
          <t xml:space="preserve">  ▶ SUBTOTAL: BIBIT</t>
        </is>
      </c>
      <c r="B35" s="178" t="n"/>
      <c r="C35" s="178" t="n"/>
      <c r="D35" s="178" t="n"/>
      <c r="E35" s="178" t="n"/>
      <c r="F35" s="479" t="n">
        <v>10160000</v>
      </c>
      <c r="G35" s="480" t="n"/>
      <c r="H35" s="178" t="n"/>
      <c r="I35" s="178" t="n"/>
      <c r="J35" s="179" t="n"/>
    </row>
    <row r="36"/>
    <row r="37" ht="20" customHeight="1">
      <c r="A37" s="385" t="inlineStr">
        <is>
          <t xml:space="preserve">  C. IRIGASI &amp; PIPA (dari titik keran yayasan)</t>
        </is>
      </c>
      <c r="B37" s="171" t="n"/>
      <c r="C37" s="171" t="n"/>
      <c r="D37" s="171" t="n"/>
      <c r="E37" s="171" t="n"/>
      <c r="F37" s="171" t="n"/>
      <c r="G37" s="171" t="n"/>
      <c r="H37" s="171" t="n"/>
      <c r="I37" s="171" t="n"/>
      <c r="J37" s="172" t="n"/>
    </row>
    <row r="38" ht="26" customHeight="1">
      <c r="A38" s="468" t="inlineStr">
        <is>
          <t>No</t>
        </is>
      </c>
      <c r="B38" s="469" t="inlineStr">
        <is>
          <t>Uraian Pekerjaan / Item</t>
        </is>
      </c>
      <c r="C38" s="470" t="inlineStr">
        <is>
          <t>Vol</t>
        </is>
      </c>
      <c r="D38" s="470" t="inlineStr">
        <is>
          <t>Sat</t>
        </is>
      </c>
      <c r="E38" s="470" t="inlineStr">
        <is>
          <t>Harga Sat</t>
        </is>
      </c>
      <c r="F38" s="470" t="inlineStr">
        <is>
          <t>Total (Rp)</t>
        </is>
      </c>
      <c r="G38" s="470" t="inlineStr">
        <is>
          <t>Fase</t>
        </is>
      </c>
      <c r="H38" s="471" t="inlineStr">
        <is>
          <t>Keterangan</t>
        </is>
      </c>
      <c r="I38" s="178" t="n"/>
      <c r="J38" s="179" t="n"/>
    </row>
    <row r="39" ht="18" customHeight="1">
      <c r="A39" s="472" t="n">
        <v>1</v>
      </c>
      <c r="B39" s="473" t="inlineStr">
        <is>
          <t>Tandon air 1.000L (2 unit)</t>
        </is>
      </c>
      <c r="C39" s="474" t="n">
        <v>2</v>
      </c>
      <c r="D39" s="474" t="inlineStr">
        <is>
          <t>unit</t>
        </is>
      </c>
      <c r="E39" s="183" t="n">
        <v>800000</v>
      </c>
      <c r="F39" s="184" t="n">
        <v>1600000</v>
      </c>
      <c r="G39" s="400" t="inlineStr">
        <is>
          <t>Fase 1</t>
        </is>
      </c>
      <c r="H39" s="475" t="inlineStr">
        <is>
          <t>Dari titik keran yayasan</t>
        </is>
      </c>
      <c r="I39" s="171" t="n"/>
      <c r="J39" s="172" t="n"/>
    </row>
    <row r="40" ht="18" customHeight="1">
      <c r="A40" s="187" t="n">
        <v>2</v>
      </c>
      <c r="B40" s="188" t="inlineStr">
        <is>
          <t>Pipa PVC 1,5" utama</t>
        </is>
      </c>
      <c r="C40" s="189" t="n">
        <v>6</v>
      </c>
      <c r="D40" s="189" t="inlineStr">
        <is>
          <t>btg 4m</t>
        </is>
      </c>
      <c r="E40" s="183" t="n">
        <v>45000</v>
      </c>
      <c r="F40" s="184" t="n">
        <v>270000</v>
      </c>
      <c r="G40" s="400" t="inlineStr">
        <is>
          <t>Fase 1</t>
        </is>
      </c>
      <c r="H40" s="190" t="inlineStr">
        <is>
          <t>Tandon → manifold</t>
        </is>
      </c>
      <c r="I40" s="171" t="n"/>
      <c r="J40" s="172" t="n"/>
    </row>
    <row r="41" ht="18" customHeight="1">
      <c r="A41" s="472" t="n">
        <v>3</v>
      </c>
      <c r="B41" s="473" t="inlineStr">
        <is>
          <t>Manifold PVC 1" (4 zona)</t>
        </is>
      </c>
      <c r="C41" s="474" t="n">
        <v>4</v>
      </c>
      <c r="D41" s="474" t="inlineStr">
        <is>
          <t>unit</t>
        </is>
      </c>
      <c r="E41" s="183" t="n">
        <v>50000</v>
      </c>
      <c r="F41" s="184" t="n">
        <v>200000</v>
      </c>
      <c r="G41" s="400" t="inlineStr">
        <is>
          <t>Fase 1</t>
        </is>
      </c>
      <c r="H41" s="475" t="inlineStr">
        <is>
          <t>Tekanan merata per zona</t>
        </is>
      </c>
      <c r="I41" s="171" t="n"/>
      <c r="J41" s="172" t="n"/>
    </row>
    <row r="42" ht="18" customHeight="1">
      <c r="A42" s="187" t="n">
        <v>4</v>
      </c>
      <c r="B42" s="188" t="inlineStr">
        <is>
          <t>Pipa lateral PVC 3/4"</t>
        </is>
      </c>
      <c r="C42" s="189" t="n">
        <v>25</v>
      </c>
      <c r="D42" s="189" t="inlineStr">
        <is>
          <t>btg 4m</t>
        </is>
      </c>
      <c r="E42" s="183" t="n">
        <v>25000</v>
      </c>
      <c r="F42" s="184" t="n">
        <v>625000</v>
      </c>
      <c r="G42" s="400" t="inlineStr">
        <is>
          <t>Fase 1</t>
        </is>
      </c>
      <c r="H42" s="190" t="inlineStr">
        <is>
          <t>Ke blok bedeng</t>
        </is>
      </c>
      <c r="I42" s="171" t="n"/>
      <c r="J42" s="172" t="n"/>
    </row>
    <row r="43" ht="18" customHeight="1">
      <c r="A43" s="472" t="n">
        <v>5</v>
      </c>
      <c r="B43" s="473" t="inlineStr">
        <is>
          <t>Selang PE 1/2" drip line</t>
        </is>
      </c>
      <c r="C43" s="474" t="n">
        <v>300</v>
      </c>
      <c r="D43" s="474" t="inlineStr">
        <is>
          <t>m</t>
        </is>
      </c>
      <c r="E43" s="183" t="n">
        <v>5000</v>
      </c>
      <c r="F43" s="184" t="n">
        <v>1500000</v>
      </c>
      <c r="G43" s="400" t="inlineStr">
        <is>
          <t>Fase 1</t>
        </is>
      </c>
      <c r="H43" s="475" t="inlineStr">
        <is>
          <t>Per baris tanaman</t>
        </is>
      </c>
      <c r="I43" s="171" t="n"/>
      <c r="J43" s="172" t="n"/>
    </row>
    <row r="44" ht="18" customHeight="1">
      <c r="A44" s="187" t="n">
        <v>6</v>
      </c>
      <c r="B44" s="188" t="inlineStr">
        <is>
          <t>Emitter drip 2L/jam (20,000 pcs)</t>
        </is>
      </c>
      <c r="C44" s="189" t="n">
        <v>20000</v>
      </c>
      <c r="D44" s="189" t="inlineStr">
        <is>
          <t>pcs</t>
        </is>
      </c>
      <c r="E44" s="183" t="n">
        <v>600</v>
      </c>
      <c r="F44" s="184" t="n">
        <v>12000000</v>
      </c>
      <c r="G44" s="400" t="inlineStr">
        <is>
          <t>Fase 1</t>
        </is>
      </c>
      <c r="H44" s="190" t="inlineStr">
        <is>
          <t>1 per tanaman</t>
        </is>
      </c>
      <c r="I44" s="171" t="n"/>
      <c r="J44" s="172" t="n"/>
    </row>
    <row r="45" ht="18" customHeight="1">
      <c r="A45" s="472" t="n">
        <v>7</v>
      </c>
      <c r="B45" s="473" t="inlineStr">
        <is>
          <t>Ball valve 3/4" per zona</t>
        </is>
      </c>
      <c r="C45" s="474" t="n">
        <v>8</v>
      </c>
      <c r="D45" s="474" t="inlineStr">
        <is>
          <t>pcs</t>
        </is>
      </c>
      <c r="E45" s="183" t="n">
        <v>25000</v>
      </c>
      <c r="F45" s="184" t="n">
        <v>200000</v>
      </c>
      <c r="G45" s="400" t="inlineStr">
        <is>
          <t>Fase 1</t>
        </is>
      </c>
      <c r="H45" s="475" t="n"/>
      <c r="I45" s="171" t="n"/>
      <c r="J45" s="172" t="n"/>
    </row>
    <row r="46" ht="18" customHeight="1">
      <c r="A46" s="187" t="n">
        <v>8</v>
      </c>
      <c r="B46" s="188" t="inlineStr">
        <is>
          <t>Filter sedimen</t>
        </is>
      </c>
      <c r="C46" s="189" t="n">
        <v>2</v>
      </c>
      <c r="D46" s="189" t="inlineStr">
        <is>
          <t>unit</t>
        </is>
      </c>
      <c r="E46" s="183" t="n">
        <v>150000</v>
      </c>
      <c r="F46" s="184" t="n">
        <v>300000</v>
      </c>
      <c r="G46" s="400" t="inlineStr">
        <is>
          <t>Fase 1</t>
        </is>
      </c>
      <c r="H46" s="190" t="inlineStr">
        <is>
          <t>Cegah buntu</t>
        </is>
      </c>
      <c r="I46" s="171" t="n"/>
      <c r="J46" s="172" t="n"/>
    </row>
    <row r="47" ht="18" customHeight="1">
      <c r="A47" s="472" t="n">
        <v>9</v>
      </c>
      <c r="B47" s="473" t="inlineStr">
        <is>
          <t>Fitting (elbow, T, keni, lem)</t>
        </is>
      </c>
      <c r="C47" s="474" t="n">
        <v>1</v>
      </c>
      <c r="D47" s="474" t="inlineStr">
        <is>
          <t>paket</t>
        </is>
      </c>
      <c r="E47" s="183" t="n">
        <v>350000</v>
      </c>
      <c r="F47" s="184" t="n">
        <v>350000</v>
      </c>
      <c r="G47" s="400" t="inlineStr">
        <is>
          <t>Fase 1</t>
        </is>
      </c>
      <c r="H47" s="475" t="n"/>
      <c r="I47" s="171" t="n"/>
      <c r="J47" s="172" t="n"/>
    </row>
    <row r="48" ht="18" customHeight="1">
      <c r="A48" s="187" t="n">
        <v>10</v>
      </c>
      <c r="B48" s="188" t="inlineStr">
        <is>
          <t>Selang siram manual backup</t>
        </is>
      </c>
      <c r="C48" s="189" t="n">
        <v>2</v>
      </c>
      <c r="D48" s="189" t="inlineStr">
        <is>
          <t>gulung</t>
        </is>
      </c>
      <c r="E48" s="183" t="n">
        <v>200000</v>
      </c>
      <c r="F48" s="184" t="n">
        <v>400000</v>
      </c>
      <c r="G48" s="400" t="inlineStr">
        <is>
          <t>Fase 1</t>
        </is>
      </c>
      <c r="H48" s="190" t="n"/>
      <c r="I48" s="171" t="n"/>
      <c r="J48" s="172" t="n"/>
    </row>
    <row r="49" ht="18" customHeight="1">
      <c r="A49" s="472" t="n">
        <v>11</v>
      </c>
      <c r="B49" s="473" t="inlineStr">
        <is>
          <t>Pompa celup 125W (jika diperlukan)</t>
        </is>
      </c>
      <c r="C49" s="474" t="n">
        <v>1</v>
      </c>
      <c r="D49" s="474" t="inlineStr">
        <is>
          <t>unit</t>
        </is>
      </c>
      <c r="E49" s="183" t="n">
        <v>800000</v>
      </c>
      <c r="F49" s="184" t="n">
        <v>800000</v>
      </c>
      <c r="G49" s="400" t="inlineStr">
        <is>
          <t>Fase 1</t>
        </is>
      </c>
      <c r="H49" s="475" t="inlineStr">
        <is>
          <t>Cek elevasi dulu</t>
        </is>
      </c>
      <c r="I49" s="171" t="n"/>
      <c r="J49" s="172" t="n"/>
    </row>
    <row r="50" ht="18" customHeight="1">
      <c r="A50" s="187" t="n">
        <v>12</v>
      </c>
      <c r="B50" s="188" t="inlineStr">
        <is>
          <t>Tambahan selang ke jalur tengah lahan</t>
        </is>
      </c>
      <c r="C50" s="189" t="n">
        <v>100</v>
      </c>
      <c r="D50" s="189" t="inlineStr">
        <is>
          <t>m</t>
        </is>
      </c>
      <c r="E50" s="183" t="n">
        <v>5000</v>
      </c>
      <c r="F50" s="184" t="n">
        <v>500000</v>
      </c>
      <c r="G50" s="400" t="inlineStr">
        <is>
          <t>Fase 1</t>
        </is>
      </c>
      <c r="H50" s="190" t="inlineStr">
        <is>
          <t>Sereh tumbuh rapat, pastikan air merata ke semua baris</t>
        </is>
      </c>
      <c r="I50" s="171" t="n"/>
      <c r="J50" s="172" t="n"/>
    </row>
    <row r="51" ht="20" customHeight="1">
      <c r="A51" s="478" t="inlineStr">
        <is>
          <t xml:space="preserve">  ▶ SUBTOTAL: IRIGASI</t>
        </is>
      </c>
      <c r="B51" s="178" t="n"/>
      <c r="C51" s="178" t="n"/>
      <c r="D51" s="178" t="n"/>
      <c r="E51" s="178" t="n"/>
      <c r="F51" s="479" t="n">
        <v>18745000</v>
      </c>
      <c r="G51" s="480" t="n"/>
      <c r="H51" s="178" t="n"/>
      <c r="I51" s="178" t="n"/>
      <c r="J51" s="179" t="n"/>
    </row>
    <row r="52"/>
    <row r="53" ht="20" customHeight="1">
      <c r="A53" s="385" t="inlineStr">
        <is>
          <t xml:space="preserve">  D. PUPUK &amp; NUTRISI</t>
        </is>
      </c>
      <c r="B53" s="171" t="n"/>
      <c r="C53" s="171" t="n"/>
      <c r="D53" s="171" t="n"/>
      <c r="E53" s="171" t="n"/>
      <c r="F53" s="171" t="n"/>
      <c r="G53" s="171" t="n"/>
      <c r="H53" s="171" t="n"/>
      <c r="I53" s="171" t="n"/>
      <c r="J53" s="172" t="n"/>
    </row>
    <row r="54" ht="26" customHeight="1">
      <c r="A54" s="468" t="inlineStr">
        <is>
          <t>No</t>
        </is>
      </c>
      <c r="B54" s="469" t="inlineStr">
        <is>
          <t>Uraian Pekerjaan / Item</t>
        </is>
      </c>
      <c r="C54" s="470" t="inlineStr">
        <is>
          <t>Vol</t>
        </is>
      </c>
      <c r="D54" s="470" t="inlineStr">
        <is>
          <t>Sat</t>
        </is>
      </c>
      <c r="E54" s="470" t="inlineStr">
        <is>
          <t>Harga Sat</t>
        </is>
      </c>
      <c r="F54" s="470" t="inlineStr">
        <is>
          <t>Total (Rp)</t>
        </is>
      </c>
      <c r="G54" s="470" t="inlineStr">
        <is>
          <t>Fase</t>
        </is>
      </c>
      <c r="H54" s="471" t="inlineStr">
        <is>
          <t>Keterangan</t>
        </is>
      </c>
      <c r="I54" s="178" t="n"/>
      <c r="J54" s="179" t="n"/>
    </row>
    <row r="55" ht="18" customHeight="1">
      <c r="A55" s="472" t="n">
        <v>1</v>
      </c>
      <c r="B55" s="473" t="inlineStr">
        <is>
          <t>Pupuk kandang matang 20 ton/ha</t>
        </is>
      </c>
      <c r="C55" s="474" t="n">
        <v>20000</v>
      </c>
      <c r="D55" s="474" t="inlineStr">
        <is>
          <t>kg</t>
        </is>
      </c>
      <c r="E55" s="183" t="n">
        <v>300</v>
      </c>
      <c r="F55" s="184" t="n">
        <v>6000000</v>
      </c>
      <c r="G55" s="393" t="inlineStr">
        <is>
          <t>Fase 0</t>
        </is>
      </c>
      <c r="H55" s="475" t="inlineStr">
        <is>
          <t>2 mgg sebelum tanam</t>
        </is>
      </c>
      <c r="I55" s="171" t="n"/>
      <c r="J55" s="172" t="n"/>
    </row>
    <row r="56" ht="18" customHeight="1">
      <c r="A56" s="187" t="n">
        <v>2</v>
      </c>
      <c r="B56" s="188" t="inlineStr">
        <is>
          <t>NPK 16-16-16</t>
        </is>
      </c>
      <c r="C56" s="189" t="n">
        <v>500</v>
      </c>
      <c r="D56" s="189" t="inlineStr">
        <is>
          <t>kg</t>
        </is>
      </c>
      <c r="E56" s="183" t="n">
        <v>8500</v>
      </c>
      <c r="F56" s="184" t="n">
        <v>4250000</v>
      </c>
      <c r="G56" s="400" t="inlineStr">
        <is>
          <t>Fase 1</t>
        </is>
      </c>
      <c r="H56" s="190" t="inlineStr">
        <is>
          <t>50% dasar, 50% susulan</t>
        </is>
      </c>
      <c r="I56" s="171" t="n"/>
      <c r="J56" s="172" t="n"/>
    </row>
    <row r="57" ht="18" customHeight="1">
      <c r="A57" s="472" t="n">
        <v>3</v>
      </c>
      <c r="B57" s="473" t="inlineStr">
        <is>
          <t>SP-36 fosfor akar</t>
        </is>
      </c>
      <c r="C57" s="474" t="n">
        <v>150</v>
      </c>
      <c r="D57" s="474" t="inlineStr">
        <is>
          <t>kg</t>
        </is>
      </c>
      <c r="E57" s="183" t="n">
        <v>5500</v>
      </c>
      <c r="F57" s="184" t="n">
        <v>825000</v>
      </c>
      <c r="G57" s="393" t="inlineStr">
        <is>
          <t>Fase 0</t>
        </is>
      </c>
      <c r="H57" s="475" t="n"/>
      <c r="I57" s="171" t="n"/>
      <c r="J57" s="172" t="n"/>
    </row>
    <row r="58" ht="18" customHeight="1">
      <c r="A58" s="187" t="n">
        <v>4</v>
      </c>
      <c r="B58" s="188" t="inlineStr">
        <is>
          <t>Pupuk organik cair MOL</t>
        </is>
      </c>
      <c r="C58" s="189" t="n">
        <v>8</v>
      </c>
      <c r="D58" s="189" t="inlineStr">
        <is>
          <t>bln</t>
        </is>
      </c>
      <c r="E58" s="183" t="n">
        <v>300000</v>
      </c>
      <c r="F58" s="184" t="n">
        <v>2400000</v>
      </c>
      <c r="G58" s="406" t="inlineStr">
        <is>
          <t>Rutin</t>
        </is>
      </c>
      <c r="H58" s="190" t="inlineStr">
        <is>
          <t>2× sebulan</t>
        </is>
      </c>
      <c r="I58" s="171" t="n"/>
      <c r="J58" s="172" t="n"/>
    </row>
    <row r="59" ht="18" customHeight="1">
      <c r="A59" s="472" t="n">
        <v>5</v>
      </c>
      <c r="B59" s="473" t="inlineStr">
        <is>
          <t>Trichoderma sp. (biofungisida)</t>
        </is>
      </c>
      <c r="C59" s="474" t="n">
        <v>5</v>
      </c>
      <c r="D59" s="474" t="inlineStr">
        <is>
          <t>kg</t>
        </is>
      </c>
      <c r="E59" s="183" t="n">
        <v>80000</v>
      </c>
      <c r="F59" s="184" t="n">
        <v>400000</v>
      </c>
      <c r="G59" s="400" t="inlineStr">
        <is>
          <t>Fase 1</t>
        </is>
      </c>
      <c r="H59" s="475" t="n"/>
      <c r="I59" s="171" t="n"/>
      <c r="J59" s="172" t="n"/>
    </row>
    <row r="60" ht="18" customHeight="1">
      <c r="A60" s="187" t="n">
        <v>6</v>
      </c>
      <c r="B60" s="188" t="inlineStr">
        <is>
          <t>Urea tinggi (N untuk biomassa batang)</t>
        </is>
      </c>
      <c r="C60" s="189" t="n">
        <v>300</v>
      </c>
      <c r="D60" s="189" t="inlineStr">
        <is>
          <t>kg</t>
        </is>
      </c>
      <c r="E60" s="183" t="n">
        <v>5000</v>
      </c>
      <c r="F60" s="184" t="n">
        <v>1500000</v>
      </c>
      <c r="G60" s="406" t="inlineStr">
        <is>
          <t>Rutin</t>
        </is>
      </c>
      <c r="H60" s="190" t="inlineStr">
        <is>
          <t>N tinggi = produksi batang lebih banyak = yield minyak lebih besar</t>
        </is>
      </c>
      <c r="I60" s="171" t="n"/>
      <c r="J60" s="172" t="n"/>
    </row>
    <row r="61" ht="18" customHeight="1">
      <c r="A61" s="472" t="n">
        <v>7</v>
      </c>
      <c r="B61" s="473" t="inlineStr">
        <is>
          <t>KCl (untuk kualitas minyak atsiri)</t>
        </is>
      </c>
      <c r="C61" s="474" t="n">
        <v>100</v>
      </c>
      <c r="D61" s="474" t="inlineStr">
        <is>
          <t>kg</t>
        </is>
      </c>
      <c r="E61" s="183" t="n">
        <v>7000</v>
      </c>
      <c r="F61" s="184" t="n">
        <v>700000</v>
      </c>
      <c r="G61" s="406" t="inlineStr">
        <is>
          <t>Rutin</t>
        </is>
      </c>
      <c r="H61" s="475" t="inlineStr">
        <is>
          <t>Kalium tingkatkan kadar geraniol dalam minyak sereh</t>
        </is>
      </c>
      <c r="I61" s="171" t="n"/>
      <c r="J61" s="172" t="n"/>
    </row>
    <row r="62" ht="20" customHeight="1">
      <c r="A62" s="478" t="inlineStr">
        <is>
          <t xml:space="preserve">  ▶ SUBTOTAL: PUPUK</t>
        </is>
      </c>
      <c r="B62" s="178" t="n"/>
      <c r="C62" s="178" t="n"/>
      <c r="D62" s="178" t="n"/>
      <c r="E62" s="178" t="n"/>
      <c r="F62" s="479" t="n">
        <v>16075000</v>
      </c>
      <c r="G62" s="480" t="n"/>
      <c r="H62" s="178" t="n"/>
      <c r="I62" s="178" t="n"/>
      <c r="J62" s="179" t="n"/>
    </row>
    <row r="63"/>
    <row r="64" ht="20" customHeight="1">
      <c r="A64" s="385" t="inlineStr">
        <is>
          <t xml:space="preserve">  E. ALAT &amp; PERLENGKAPAN</t>
        </is>
      </c>
      <c r="B64" s="171" t="n"/>
      <c r="C64" s="171" t="n"/>
      <c r="D64" s="171" t="n"/>
      <c r="E64" s="171" t="n"/>
      <c r="F64" s="171" t="n"/>
      <c r="G64" s="171" t="n"/>
      <c r="H64" s="171" t="n"/>
      <c r="I64" s="171" t="n"/>
      <c r="J64" s="172" t="n"/>
    </row>
    <row r="65" ht="26" customHeight="1">
      <c r="A65" s="468" t="inlineStr">
        <is>
          <t>No</t>
        </is>
      </c>
      <c r="B65" s="469" t="inlineStr">
        <is>
          <t>Uraian Pekerjaan / Item</t>
        </is>
      </c>
      <c r="C65" s="470" t="inlineStr">
        <is>
          <t>Vol</t>
        </is>
      </c>
      <c r="D65" s="470" t="inlineStr">
        <is>
          <t>Sat</t>
        </is>
      </c>
      <c r="E65" s="470" t="inlineStr">
        <is>
          <t>Harga Sat</t>
        </is>
      </c>
      <c r="F65" s="470" t="inlineStr">
        <is>
          <t>Total (Rp)</t>
        </is>
      </c>
      <c r="G65" s="470" t="inlineStr">
        <is>
          <t>Fase</t>
        </is>
      </c>
      <c r="H65" s="471" t="inlineStr">
        <is>
          <t>Keterangan</t>
        </is>
      </c>
      <c r="I65" s="178" t="n"/>
      <c r="J65" s="179" t="n"/>
    </row>
    <row r="66" ht="18" customHeight="1">
      <c r="A66" s="472" t="n">
        <v>1</v>
      </c>
      <c r="B66" s="473" t="inlineStr">
        <is>
          <t>Cangkul, sekop, garpu (4 set)</t>
        </is>
      </c>
      <c r="C66" s="474" t="n">
        <v>4</v>
      </c>
      <c r="D66" s="474" t="inlineStr">
        <is>
          <t>set</t>
        </is>
      </c>
      <c r="E66" s="183" t="n">
        <v>120000</v>
      </c>
      <c r="F66" s="184" t="n">
        <v>480000</v>
      </c>
      <c r="G66" s="393" t="inlineStr">
        <is>
          <t>Fase 0</t>
        </is>
      </c>
      <c r="H66" s="475" t="n"/>
      <c r="I66" s="171" t="n"/>
      <c r="J66" s="172" t="n"/>
    </row>
    <row r="67" ht="18" customHeight="1">
      <c r="A67" s="187" t="n">
        <v>2</v>
      </c>
      <c r="B67" s="188" t="inlineStr">
        <is>
          <t>Knapsack sprayer 16L (2 unit)</t>
        </is>
      </c>
      <c r="C67" s="189" t="n">
        <v>2</v>
      </c>
      <c r="D67" s="189" t="inlineStr">
        <is>
          <t>unit</t>
        </is>
      </c>
      <c r="E67" s="183" t="n">
        <v>350000</v>
      </c>
      <c r="F67" s="184" t="n">
        <v>700000</v>
      </c>
      <c r="G67" s="400" t="inlineStr">
        <is>
          <t>Fase 1</t>
        </is>
      </c>
      <c r="H67" s="190" t="inlineStr">
        <is>
          <t>1 pupuk, 1 pestisida</t>
        </is>
      </c>
      <c r="I67" s="171" t="n"/>
      <c r="J67" s="172" t="n"/>
    </row>
    <row r="68" ht="18" customHeight="1">
      <c r="A68" s="472" t="n">
        <v>3</v>
      </c>
      <c r="B68" s="473" t="inlineStr">
        <is>
          <t>Timbangan digital 50kg</t>
        </is>
      </c>
      <c r="C68" s="474" t="n">
        <v>1</v>
      </c>
      <c r="D68" s="474" t="inlineStr">
        <is>
          <t>unit</t>
        </is>
      </c>
      <c r="E68" s="183" t="n">
        <v>450000</v>
      </c>
      <c r="F68" s="184" t="n">
        <v>450000</v>
      </c>
      <c r="G68" s="400" t="inlineStr">
        <is>
          <t>Fase 1</t>
        </is>
      </c>
      <c r="H68" s="475" t="n"/>
      <c r="I68" s="171" t="n"/>
      <c r="J68" s="172" t="n"/>
    </row>
    <row r="69" ht="18" customHeight="1">
      <c r="A69" s="187" t="n">
        <v>4</v>
      </c>
      <c r="B69" s="188" t="inlineStr">
        <is>
          <t>Karung panen 25kg (200 pcs)</t>
        </is>
      </c>
      <c r="C69" s="189" t="n">
        <v>200</v>
      </c>
      <c r="D69" s="189" t="inlineStr">
        <is>
          <t>pcs</t>
        </is>
      </c>
      <c r="E69" s="183" t="n">
        <v>2500</v>
      </c>
      <c r="F69" s="184" t="n">
        <v>500000</v>
      </c>
      <c r="G69" s="400" t="inlineStr">
        <is>
          <t>Fase 1</t>
        </is>
      </c>
      <c r="H69" s="190" t="n"/>
      <c r="I69" s="171" t="n"/>
      <c r="J69" s="172" t="n"/>
    </row>
    <row r="70" ht="18" customHeight="1">
      <c r="A70" s="472" t="n">
        <v>5</v>
      </c>
      <c r="B70" s="473" t="inlineStr">
        <is>
          <t>Keranjang plastik berlubang</t>
        </is>
      </c>
      <c r="C70" s="474" t="n">
        <v>20</v>
      </c>
      <c r="D70" s="474" t="inlineStr">
        <is>
          <t>pcs</t>
        </is>
      </c>
      <c r="E70" s="183" t="n">
        <v>25000</v>
      </c>
      <c r="F70" s="184" t="n">
        <v>500000</v>
      </c>
      <c r="G70" s="400" t="inlineStr">
        <is>
          <t>Fase 1</t>
        </is>
      </c>
      <c r="H70" s="475" t="n"/>
      <c r="I70" s="171" t="n"/>
      <c r="J70" s="172" t="n"/>
    </row>
    <row r="71" ht="18" customHeight="1">
      <c r="A71" s="187" t="n">
        <v>6</v>
      </c>
      <c r="B71" s="188" t="inlineStr">
        <is>
          <t>APD lengkap (4 set)</t>
        </is>
      </c>
      <c r="C71" s="189" t="n">
        <v>4</v>
      </c>
      <c r="D71" s="189" t="inlineStr">
        <is>
          <t>set</t>
        </is>
      </c>
      <c r="E71" s="183" t="n">
        <v>100000</v>
      </c>
      <c r="F71" s="184" t="n">
        <v>400000</v>
      </c>
      <c r="G71" s="400" t="inlineStr">
        <is>
          <t>Fase 1</t>
        </is>
      </c>
      <c r="H71" s="190" t="n"/>
      <c r="I71" s="171" t="n"/>
      <c r="J71" s="172" t="n"/>
    </row>
    <row r="72" ht="18" customHeight="1">
      <c r="A72" s="472" t="n">
        <v>7</v>
      </c>
      <c r="B72" s="473" t="inlineStr">
        <is>
          <t>Sabit/arit panen sereh (per orang)</t>
        </is>
      </c>
      <c r="C72" s="474" t="n">
        <v>6</v>
      </c>
      <c r="D72" s="474" t="inlineStr">
        <is>
          <t>unit</t>
        </is>
      </c>
      <c r="E72" s="183" t="n">
        <v>45000</v>
      </c>
      <c r="F72" s="184" t="n">
        <v>270000</v>
      </c>
      <c r="G72" s="400" t="inlineStr">
        <is>
          <t>Fase 1</t>
        </is>
      </c>
      <c r="H72" s="475" t="inlineStr">
        <is>
          <t>Panen potong 15–20cm dari tanah. Jangan cabut!</t>
        </is>
      </c>
      <c r="I72" s="171" t="n"/>
      <c r="J72" s="172" t="n"/>
    </row>
    <row r="73" ht="18" customHeight="1">
      <c r="A73" s="187" t="n">
        <v>8</v>
      </c>
      <c r="B73" s="409" t="inlineStr">
        <is>
          <t>Unit destilasi uap mini (50L/batch)</t>
        </is>
      </c>
      <c r="C73" s="189" t="n">
        <v>1</v>
      </c>
      <c r="D73" s="189" t="inlineStr">
        <is>
          <t>unit</t>
        </is>
      </c>
      <c r="E73" s="183" t="n">
        <v>8000000</v>
      </c>
      <c r="F73" s="184" t="n">
        <v>8000000</v>
      </c>
      <c r="G73" s="400" t="inlineStr">
        <is>
          <t>Fase 1</t>
        </is>
      </c>
      <c r="H73" s="190" t="inlineStr">
        <is>
          <t>Investasi utama. 100kg batang segar = 0.5–1L minyak atsiri. ROI cepat</t>
        </is>
      </c>
      <c r="I73" s="171" t="n"/>
      <c r="J73" s="172" t="n"/>
    </row>
    <row r="74" ht="18" customHeight="1">
      <c r="A74" s="472" t="n">
        <v>9</v>
      </c>
      <c r="B74" s="473" t="inlineStr">
        <is>
          <t>Drum/jerigen minyak (food grade)</t>
        </is>
      </c>
      <c r="C74" s="474" t="n">
        <v>20</v>
      </c>
      <c r="D74" s="474" t="inlineStr">
        <is>
          <t>unit</t>
        </is>
      </c>
      <c r="E74" s="183" t="n">
        <v>50000</v>
      </c>
      <c r="F74" s="184" t="n">
        <v>1000000</v>
      </c>
      <c r="G74" s="400" t="inlineStr">
        <is>
          <t>Fase 1</t>
        </is>
      </c>
      <c r="H74" s="475" t="inlineStr">
        <is>
          <t>Simpan minyak atsiri dalam gelap &amp; dingin. Nilai naik seiring waktu</t>
        </is>
      </c>
      <c r="I74" s="171" t="n"/>
      <c r="J74" s="172" t="n"/>
    </row>
    <row r="75" ht="20" customHeight="1">
      <c r="A75" s="478" t="inlineStr">
        <is>
          <t xml:space="preserve">  ▶ SUBTOTAL: ALAT</t>
        </is>
      </c>
      <c r="B75" s="178" t="n"/>
      <c r="C75" s="178" t="n"/>
      <c r="D75" s="178" t="n"/>
      <c r="E75" s="178" t="n"/>
      <c r="F75" s="479" t="n">
        <v>12300000</v>
      </c>
      <c r="G75" s="480" t="n"/>
      <c r="H75" s="178" t="n"/>
      <c r="I75" s="178" t="n"/>
      <c r="J75" s="179" t="n"/>
    </row>
    <row r="76"/>
    <row r="77" ht="20" customHeight="1">
      <c r="A77" s="385" t="inlineStr">
        <is>
          <t xml:space="preserve">  F. TENAGA KERJA — SISTEM GAJI ADVANCE</t>
        </is>
      </c>
      <c r="B77" s="171" t="n"/>
      <c r="C77" s="171" t="n"/>
      <c r="D77" s="171" t="n"/>
      <c r="E77" s="171" t="n"/>
      <c r="F77" s="171" t="n"/>
      <c r="G77" s="171" t="n"/>
      <c r="H77" s="171" t="n"/>
      <c r="I77" s="171" t="n"/>
      <c r="J77" s="172" t="n"/>
    </row>
    <row r="78" ht="28" customHeight="1">
      <c r="A78" s="408" t="inlineStr">
        <is>
          <t xml:space="preserve">  ⚠️ Semua gaji di bawah = ADVANCE dari modal yayasan. Total advance Rp 45,000,000 dipotong dari porsi 40% (= Rp 206,400,000) saat panen. Bonus tunai saat panen = Rp 161,400,000</t>
        </is>
      </c>
      <c r="B78" s="171" t="n"/>
      <c r="C78" s="171" t="n"/>
      <c r="D78" s="171" t="n"/>
      <c r="E78" s="171" t="n"/>
      <c r="F78" s="171" t="n"/>
      <c r="G78" s="171" t="n"/>
      <c r="H78" s="171" t="n"/>
      <c r="I78" s="171" t="n"/>
      <c r="J78" s="172" t="n"/>
    </row>
    <row r="79" ht="26" customHeight="1">
      <c r="A79" s="468" t="inlineStr">
        <is>
          <t>No</t>
        </is>
      </c>
      <c r="B79" s="469" t="inlineStr">
        <is>
          <t>Uraian Pekerjaan / Item</t>
        </is>
      </c>
      <c r="C79" s="470" t="inlineStr">
        <is>
          <t>Vol</t>
        </is>
      </c>
      <c r="D79" s="470" t="inlineStr">
        <is>
          <t>Sat</t>
        </is>
      </c>
      <c r="E79" s="470" t="inlineStr">
        <is>
          <t>Harga Sat</t>
        </is>
      </c>
      <c r="F79" s="470" t="inlineStr">
        <is>
          <t>Total (Rp)</t>
        </is>
      </c>
      <c r="G79" s="470" t="inlineStr">
        <is>
          <t>Fase</t>
        </is>
      </c>
      <c r="H79" s="471" t="inlineStr">
        <is>
          <t>Keterangan</t>
        </is>
      </c>
      <c r="I79" s="178" t="n"/>
      <c r="J79" s="179" t="n"/>
    </row>
    <row r="80" ht="18" customHeight="1">
      <c r="A80" s="390" t="n">
        <v>1</v>
      </c>
      <c r="B80" s="408" t="inlineStr">
        <is>
          <t>Penanaman 20.000 rumpun (4 org × 5 hari)</t>
        </is>
      </c>
      <c r="C80" s="477" t="n">
        <v>20</v>
      </c>
      <c r="D80" s="477" t="inlineStr">
        <is>
          <t>HOK</t>
        </is>
      </c>
      <c r="E80" s="183" t="n">
        <v>150000</v>
      </c>
      <c r="F80" s="401" t="n">
        <v>3000000</v>
      </c>
      <c r="G80" s="400" t="inlineStr">
        <is>
          <t>Fase 1</t>
        </is>
      </c>
      <c r="H80" s="394" t="inlineStr">
        <is>
          <t>ADVANCE. Tanam sekali, panen bertahun-tahun</t>
        </is>
      </c>
      <c r="I80" s="171" t="n"/>
      <c r="J80" s="172" t="n"/>
    </row>
    <row r="81" ht="18" customHeight="1">
      <c r="A81" s="390" t="n">
        <v>2</v>
      </c>
      <c r="B81" s="476" t="inlineStr">
        <is>
          <t>Perawatan &amp; penyiangan (2 org × 12 bln)</t>
        </is>
      </c>
      <c r="C81" s="477" t="n">
        <v>2</v>
      </c>
      <c r="D81" s="477" t="inlineStr">
        <is>
          <t>org/bln</t>
        </is>
      </c>
      <c r="E81" s="183" t="n">
        <v>1500000</v>
      </c>
      <c r="F81" s="401" t="n">
        <v>36000000</v>
      </c>
      <c r="G81" s="406" t="inlineStr">
        <is>
          <t>Rutin</t>
        </is>
      </c>
      <c r="H81" s="394" t="inlineStr">
        <is>
          <t>ADVANCE. Sereh perennial, rawat minimal dibanding tanaman semusim</t>
        </is>
      </c>
      <c r="I81" s="171" t="n"/>
      <c r="J81" s="172" t="n"/>
    </row>
    <row r="82" ht="18" customHeight="1">
      <c r="A82" s="390" t="n">
        <v>3</v>
      </c>
      <c r="B82" s="408" t="inlineStr">
        <is>
          <t>Panen &amp; destilasi (4 org × 4 kali/thn)</t>
        </is>
      </c>
      <c r="C82" s="477" t="n">
        <v>16</v>
      </c>
      <c r="D82" s="477" t="inlineStr">
        <is>
          <t>HOK</t>
        </is>
      </c>
      <c r="E82" s="183" t="n">
        <v>150000</v>
      </c>
      <c r="F82" s="401" t="n">
        <v>2400000</v>
      </c>
      <c r="G82" s="406" t="inlineStr">
        <is>
          <t>Rutin</t>
        </is>
      </c>
      <c r="H82" s="394" t="inlineStr">
        <is>
          <t>ADVANCE. Panen setiap 3 bulan. Destilasi 2–3 hari per batch</t>
        </is>
      </c>
      <c r="I82" s="171" t="n"/>
      <c r="J82" s="172" t="n"/>
    </row>
    <row r="83" ht="18" customHeight="1">
      <c r="A83" s="390" t="n">
        <v>4</v>
      </c>
      <c r="B83" s="476" t="inlineStr">
        <is>
          <t>Koordinator &amp; dokumentasi (12 bln)</t>
        </is>
      </c>
      <c r="C83" s="477" t="n">
        <v>12</v>
      </c>
      <c r="D83" s="477" t="inlineStr">
        <is>
          <t>bln</t>
        </is>
      </c>
      <c r="E83" s="183" t="n">
        <v>300000</v>
      </c>
      <c r="F83" s="401" t="n">
        <v>3600000</v>
      </c>
      <c r="G83" s="406" t="inlineStr">
        <is>
          <t>Rutin</t>
        </is>
      </c>
      <c r="H83" s="394" t="inlineStr">
        <is>
          <t>ADVANCE. Catat yield minyak per batch, pantau kualitas</t>
        </is>
      </c>
      <c r="I83" s="171" t="n"/>
      <c r="J83" s="172" t="n"/>
    </row>
    <row r="84" ht="20" customHeight="1">
      <c r="A84" s="410" t="inlineStr">
        <is>
          <t xml:space="preserve">  ▶ TOTAL ADVANCE GAJI</t>
        </is>
      </c>
      <c r="B84" s="178" t="n"/>
      <c r="C84" s="178" t="n"/>
      <c r="D84" s="178" t="n"/>
      <c r="E84" s="178" t="n"/>
      <c r="F84" s="411" t="n">
        <v>45000000</v>
      </c>
      <c r="G84" s="412" t="inlineStr">
        <is>
          <t>Bonus panen tunai: Rp 161,400,000</t>
        </is>
      </c>
      <c r="H84" s="178" t="n"/>
      <c r="I84" s="178" t="n"/>
      <c r="J84" s="179" t="n"/>
    </row>
    <row r="85"/>
    <row r="86" ht="20" customHeight="1">
      <c r="A86" s="385" t="inlineStr">
        <is>
          <t xml:space="preserve">  G. PASCA PANEN, PENJUALAN &amp; DISTRIBUSI</t>
        </is>
      </c>
      <c r="B86" s="171" t="n"/>
      <c r="C86" s="171" t="n"/>
      <c r="D86" s="171" t="n"/>
      <c r="E86" s="171" t="n"/>
      <c r="F86" s="171" t="n"/>
      <c r="G86" s="171" t="n"/>
      <c r="H86" s="171" t="n"/>
      <c r="I86" s="171" t="n"/>
      <c r="J86" s="172" t="n"/>
    </row>
    <row r="87" ht="26" customHeight="1">
      <c r="A87" s="468" t="inlineStr">
        <is>
          <t>No</t>
        </is>
      </c>
      <c r="B87" s="469" t="inlineStr">
        <is>
          <t>Uraian Pekerjaan / Item</t>
        </is>
      </c>
      <c r="C87" s="470" t="inlineStr">
        <is>
          <t>Vol</t>
        </is>
      </c>
      <c r="D87" s="470" t="inlineStr">
        <is>
          <t>Sat</t>
        </is>
      </c>
      <c r="E87" s="470" t="inlineStr">
        <is>
          <t>Harga Sat</t>
        </is>
      </c>
      <c r="F87" s="470" t="inlineStr">
        <is>
          <t>Total (Rp)</t>
        </is>
      </c>
      <c r="G87" s="470" t="inlineStr">
        <is>
          <t>Fase</t>
        </is>
      </c>
      <c r="H87" s="471" t="inlineStr">
        <is>
          <t>Keterangan</t>
        </is>
      </c>
      <c r="I87" s="178" t="n"/>
      <c r="J87" s="179" t="n"/>
    </row>
    <row r="88" ht="18" customHeight="1">
      <c r="A88" s="472" t="n">
        <v>1</v>
      </c>
      <c r="B88" s="473" t="inlineStr">
        <is>
          <t>Uji GC-MS minyak atsiri (kadar geraniol)</t>
        </is>
      </c>
      <c r="C88" s="474" t="n">
        <v>2</v>
      </c>
      <c r="D88" s="474" t="inlineStr">
        <is>
          <t>sampel</t>
        </is>
      </c>
      <c r="E88" s="183" t="n">
        <v>1500000</v>
      </c>
      <c r="F88" s="184" t="n">
        <v>3000000</v>
      </c>
      <c r="G88" s="400" t="inlineStr">
        <is>
          <t>Fase 1</t>
        </is>
      </c>
      <c r="H88" s="475" t="inlineStr">
        <is>
          <t>Geraniol &gt;75% = grade ekspor premium. Lab BPOM / SGS</t>
        </is>
      </c>
      <c r="I88" s="171" t="n"/>
      <c r="J88" s="172" t="n"/>
    </row>
    <row r="89" ht="18" customHeight="1">
      <c r="A89" s="187" t="n">
        <v>2</v>
      </c>
      <c r="B89" s="188" t="inlineStr">
        <is>
          <t>Kemasan jerigen HDPE 1L &amp; 5L (label ekspor)</t>
        </is>
      </c>
      <c r="C89" s="189" t="n">
        <v>1</v>
      </c>
      <c r="D89" s="189" t="inlineStr">
        <is>
          <t>paket</t>
        </is>
      </c>
      <c r="E89" s="183" t="n">
        <v>2000000</v>
      </c>
      <c r="F89" s="184" t="n">
        <v>2000000</v>
      </c>
      <c r="G89" s="400" t="inlineStr">
        <is>
          <t>Fase 1</t>
        </is>
      </c>
      <c r="H89" s="190" t="inlineStr">
        <is>
          <t>Label: origin, kadar geraniol, GC-MS certificate, batch</t>
        </is>
      </c>
      <c r="I89" s="171" t="n"/>
      <c r="J89" s="172" t="n"/>
    </row>
    <row r="90" ht="18" customHeight="1">
      <c r="A90" s="472" t="n">
        <v>3</v>
      </c>
      <c r="B90" s="473" t="inlineStr">
        <is>
          <t>Phytosanitary + CoO (Certificate of Origin)</t>
        </is>
      </c>
      <c r="C90" s="474" t="n">
        <v>1</v>
      </c>
      <c r="D90" s="474" t="inlineStr">
        <is>
          <t>sertifikat</t>
        </is>
      </c>
      <c r="E90" s="183" t="n">
        <v>1500000</v>
      </c>
      <c r="F90" s="184" t="n">
        <v>1500000</v>
      </c>
      <c r="G90" s="400" t="inlineStr">
        <is>
          <t>Fase 1</t>
        </is>
      </c>
      <c r="H90" s="475" t="inlineStr">
        <is>
          <t>Minyak atsiri ekspor perlu CoO dari Kemendag</t>
        </is>
      </c>
      <c r="I90" s="171" t="n"/>
      <c r="J90" s="172" t="n"/>
    </row>
    <row r="91" ht="18" customHeight="1">
      <c r="A91" s="187" t="n">
        <v>4</v>
      </c>
      <c r="B91" s="188" t="inlineStr">
        <is>
          <t>Freight udara / laut ke buyer</t>
        </is>
      </c>
      <c r="C91" s="189" t="n">
        <v>1</v>
      </c>
      <c r="D91" s="189" t="inlineStr">
        <is>
          <t>paket</t>
        </is>
      </c>
      <c r="E91" s="183" t="n">
        <v>3000000</v>
      </c>
      <c r="F91" s="184" t="n">
        <v>3000000</v>
      </c>
      <c r="G91" s="400" t="inlineStr">
        <is>
          <t>Fase 1</t>
        </is>
      </c>
      <c r="H91" s="190" t="inlineStr">
        <is>
          <t>Volume kecil (minyak), freight udara cost-effective untuk batch kecil</t>
        </is>
      </c>
      <c r="I91" s="171" t="n"/>
      <c r="J91" s="172" t="n"/>
    </row>
    <row r="92" ht="20" customHeight="1">
      <c r="A92" s="478" t="inlineStr">
        <is>
          <t xml:space="preserve">  ▶ SUBTOTAL: PASCA PANEN</t>
        </is>
      </c>
      <c r="B92" s="178" t="n"/>
      <c r="C92" s="178" t="n"/>
      <c r="D92" s="178" t="n"/>
      <c r="E92" s="178" t="n"/>
      <c r="F92" s="479" t="n">
        <v>9500000</v>
      </c>
      <c r="G92" s="480" t="n"/>
      <c r="H92" s="178" t="n"/>
      <c r="I92" s="178" t="n"/>
      <c r="J92" s="179" t="n"/>
    </row>
    <row r="93"/>
    <row r="94" ht="34" customHeight="1">
      <c r="A94" s="482" t="inlineStr">
        <is>
          <t xml:space="preserve">  🏆 GRAND TOTAL — SEREH WANGI 1 HA</t>
        </is>
      </c>
      <c r="B94" s="200" t="n"/>
      <c r="C94" s="200" t="n"/>
      <c r="D94" s="200" t="n"/>
      <c r="E94" s="200" t="n"/>
      <c r="F94" s="483" t="n">
        <v>143530000</v>
      </c>
      <c r="G94" s="484" t="inlineStr">
        <is>
          <t>ROI Donatur: 36.0% | Bonus Tenaga: Rp 161,400,000</t>
        </is>
      </c>
      <c r="H94" s="200" t="n"/>
      <c r="I94" s="200" t="n"/>
      <c r="J94" s="203" t="n"/>
    </row>
    <row r="95"/>
    <row r="96">
      <c r="A96" s="416" t="inlineStr">
        <is>
          <t xml:space="preserve">  🌏 INFO EKSPOR</t>
        </is>
      </c>
      <c r="B96" s="171" t="n"/>
      <c r="C96" s="171" t="n"/>
      <c r="D96" s="171" t="n"/>
      <c r="E96" s="171" t="n"/>
      <c r="F96" s="171" t="n"/>
      <c r="G96" s="171" t="n"/>
      <c r="H96" s="171" t="n"/>
      <c r="I96" s="171" t="n"/>
      <c r="J96" s="172" t="n"/>
    </row>
    <row r="97" ht="56" customHeight="1">
      <c r="A97" s="417" t="inlineStr">
        <is>
          <t>SEREH WANGI — JALUR EKSPOR MINYAK ATSIRI
Minyak sereh wangi (citronella oil) harga USD 8–15/kg = Rp 130.000–240.000/kg.
1 ha (30 ton batang/thn) → 150–300 kg minyak/thn @ Rp 130.000 = Rp 19–39 jt/thn hanya dari minyak!
Target buyer: perusahaan parfum (EU/USA), industri kosmetik alami, repellent produsen.
Keunggulan: PERENNIAL 5 tahun — tanam sekali, panen terus! Modal awal kembali tahun ke-2.
Sampingan lokal: batang segar dijual ke pasar bumbu Rp 3.000/kg, masuk dapur yayasan gratis.</t>
        </is>
      </c>
      <c r="B97" s="171" t="n"/>
      <c r="C97" s="171" t="n"/>
      <c r="D97" s="171" t="n"/>
      <c r="E97" s="171" t="n"/>
      <c r="F97" s="171" t="n"/>
      <c r="G97" s="171" t="n"/>
      <c r="H97" s="171" t="n"/>
      <c r="I97" s="171" t="n"/>
      <c r="J97" s="172" t="n"/>
    </row>
  </sheetData>
  <mergeCells count="106">
    <mergeCell ref="A17:G17"/>
    <mergeCell ref="A94:E94"/>
    <mergeCell ref="H17:J17"/>
    <mergeCell ref="H11:J11"/>
    <mergeCell ref="H69:J69"/>
    <mergeCell ref="A9:G9"/>
    <mergeCell ref="H22:J22"/>
    <mergeCell ref="H66:J66"/>
    <mergeCell ref="A77:J77"/>
    <mergeCell ref="A11:G11"/>
    <mergeCell ref="H5:J5"/>
    <mergeCell ref="H38:J38"/>
    <mergeCell ref="H44:J44"/>
    <mergeCell ref="H58:J58"/>
    <mergeCell ref="H40:J40"/>
    <mergeCell ref="H21:J21"/>
    <mergeCell ref="H73:J73"/>
    <mergeCell ref="H60:J60"/>
    <mergeCell ref="A8:G8"/>
    <mergeCell ref="A97:J97"/>
    <mergeCell ref="G29:J29"/>
    <mergeCell ref="A4:J4"/>
    <mergeCell ref="A96:J96"/>
    <mergeCell ref="G94:J94"/>
    <mergeCell ref="H7:J7"/>
    <mergeCell ref="G75:J75"/>
    <mergeCell ref="H16:J16"/>
    <mergeCell ref="G84:J84"/>
    <mergeCell ref="A31:J31"/>
    <mergeCell ref="H57:J57"/>
    <mergeCell ref="H27:J27"/>
    <mergeCell ref="A75:E75"/>
    <mergeCell ref="A3:E3"/>
    <mergeCell ref="H33:J33"/>
    <mergeCell ref="H42:J42"/>
    <mergeCell ref="H67:J67"/>
    <mergeCell ref="H20:J20"/>
    <mergeCell ref="G62:J62"/>
    <mergeCell ref="A29:E29"/>
    <mergeCell ref="A12:G12"/>
    <mergeCell ref="A2:J2"/>
    <mergeCell ref="A86:J86"/>
    <mergeCell ref="H59:J59"/>
    <mergeCell ref="A5:G5"/>
    <mergeCell ref="A14:G14"/>
    <mergeCell ref="H46:J46"/>
    <mergeCell ref="H89:J89"/>
    <mergeCell ref="H25:J25"/>
    <mergeCell ref="G35:J35"/>
    <mergeCell ref="H79:J79"/>
    <mergeCell ref="H61:J61"/>
    <mergeCell ref="H88:J88"/>
    <mergeCell ref="H70:J70"/>
    <mergeCell ref="H45:J45"/>
    <mergeCell ref="H32:J32"/>
    <mergeCell ref="F3:J3"/>
    <mergeCell ref="H81:J81"/>
    <mergeCell ref="H90:J90"/>
    <mergeCell ref="H13:J13"/>
    <mergeCell ref="H65:J65"/>
    <mergeCell ref="H47:J47"/>
    <mergeCell ref="A84:E84"/>
    <mergeCell ref="H87:J87"/>
    <mergeCell ref="A64:J64"/>
    <mergeCell ref="H15:J15"/>
    <mergeCell ref="H71:J71"/>
    <mergeCell ref="H24:J24"/>
    <mergeCell ref="H8:J8"/>
    <mergeCell ref="A16:G16"/>
    <mergeCell ref="H26:J26"/>
    <mergeCell ref="H82:J82"/>
    <mergeCell ref="H50:J50"/>
    <mergeCell ref="H55:J55"/>
    <mergeCell ref="H34:J34"/>
    <mergeCell ref="H9:J9"/>
    <mergeCell ref="H39:J39"/>
    <mergeCell ref="H49:J49"/>
    <mergeCell ref="G51:J51"/>
    <mergeCell ref="A51:E51"/>
    <mergeCell ref="A53:J53"/>
    <mergeCell ref="A19:J19"/>
    <mergeCell ref="A13:G13"/>
    <mergeCell ref="H72:J72"/>
    <mergeCell ref="H28:J28"/>
    <mergeCell ref="H80:J80"/>
    <mergeCell ref="H12:J12"/>
    <mergeCell ref="A15:G15"/>
    <mergeCell ref="H48:J48"/>
    <mergeCell ref="A1:J1"/>
    <mergeCell ref="H14:J14"/>
    <mergeCell ref="H23:J23"/>
    <mergeCell ref="A78:J78"/>
    <mergeCell ref="A7:G7"/>
    <mergeCell ref="H91:J91"/>
    <mergeCell ref="H43:J43"/>
    <mergeCell ref="A35:E35"/>
    <mergeCell ref="A37:J37"/>
    <mergeCell ref="H54:J54"/>
    <mergeCell ref="A62:E62"/>
    <mergeCell ref="H41:J41"/>
    <mergeCell ref="G92:J92"/>
    <mergeCell ref="H74:J74"/>
    <mergeCell ref="H56:J56"/>
    <mergeCell ref="H68:J68"/>
    <mergeCell ref="H83:J83"/>
    <mergeCell ref="A92:E9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485" t="inlineStr">
        <is>
          <t>🌱 PAKET INVESTASI — KAPULAGA  |  18–24 Bulan pertama panen (perennial, 8–10 tahun)  |  🌏 PLAN A: EKSPOR</t>
        </is>
      </c>
    </row>
    <row r="2" ht="18" customHeight="1">
      <c r="A2" s="461" t="inlineStr">
        <is>
          <t>Hasil: 1,500 kg/ha  ·  kg biji kering/ha/tahun (panen tahun ke-2+)  ·  Harga Lokal Rp 150,000  ·  Harga Ekspor Rp 400000/kg</t>
        </is>
      </c>
    </row>
    <row r="3" ht="24" customHeight="1">
      <c r="A3" s="462" t="inlineStr">
        <is>
          <t xml:space="preserve">  🌏 JALUR A — EKSPOR: Rempah bernilai tinggi. Target pasar internasional. Harga premium. Butuh sertifikasi.</t>
        </is>
      </c>
      <c r="B3" s="171" t="n"/>
      <c r="C3" s="171" t="n"/>
      <c r="D3" s="171" t="n"/>
      <c r="E3" s="171" t="n"/>
      <c r="F3" s="463" t="inlineStr">
        <is>
          <t>Komoditi ini tidak habis di pasar lokal — fokus ekspor untuk margin max.</t>
        </is>
      </c>
      <c r="G3" s="171" t="n"/>
      <c r="H3" s="171" t="n"/>
      <c r="I3" s="171" t="n"/>
      <c r="J3" s="172" t="n"/>
    </row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86" t="inlineStr">
        <is>
          <t xml:space="preserve">  GRAND TOTAL INVESTASI</t>
        </is>
      </c>
      <c r="B5" s="171" t="n"/>
      <c r="C5" s="171" t="n"/>
      <c r="D5" s="171" t="n"/>
      <c r="E5" s="171" t="n"/>
      <c r="F5" s="171" t="n"/>
      <c r="G5" s="171" t="n"/>
      <c r="H5" s="487" t="n">
        <v>279710000</v>
      </c>
      <c r="I5" s="171" t="n"/>
      <c r="J5" s="172" t="n"/>
    </row>
    <row r="6"/>
    <row r="7" ht="20" customHeight="1">
      <c r="A7" s="466" t="inlineStr">
        <is>
          <t xml:space="preserve">  Est. Revenue (Mix 30% lokal / 70% ekspor)</t>
        </is>
      </c>
      <c r="B7" s="171" t="n"/>
      <c r="C7" s="171" t="n"/>
      <c r="D7" s="171" t="n"/>
      <c r="E7" s="171" t="n"/>
      <c r="F7" s="171" t="n"/>
      <c r="G7" s="171" t="n"/>
      <c r="H7" s="467" t="n">
        <v>487500000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72,000,000)</t>
        </is>
      </c>
      <c r="I8" s="171" t="n"/>
      <c r="J8" s="172" t="n"/>
    </row>
    <row r="9" ht="20" customHeight="1">
      <c r="A9" s="368" t="inlineStr">
        <is>
          <t xml:space="preserve">  SISA BERSIH — Dasar Bagi Hasil</t>
        </is>
      </c>
      <c r="B9" s="171" t="n"/>
      <c r="C9" s="171" t="n"/>
      <c r="D9" s="171" t="n"/>
      <c r="E9" s="171" t="n"/>
      <c r="F9" s="171" t="n"/>
      <c r="G9" s="171" t="n"/>
      <c r="H9" s="369" t="n">
        <v>415500000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166200000</v>
      </c>
      <c r="I11" s="171" t="n"/>
      <c r="J11" s="172" t="n"/>
    </row>
    <row r="12" ht="20" customHeight="1">
      <c r="A12" s="372" t="inlineStr">
        <is>
          <t xml:space="preserve">  💰 Donatur 10%  →  ROI Donatur 14.9%</t>
        </is>
      </c>
      <c r="B12" s="171" t="n"/>
      <c r="C12" s="171" t="n"/>
      <c r="D12" s="171" t="n"/>
      <c r="E12" s="171" t="n"/>
      <c r="F12" s="171" t="n"/>
      <c r="G12" s="171" t="n"/>
      <c r="H12" s="373" t="n">
        <v>41550000</v>
      </c>
      <c r="I12" s="171" t="n"/>
      <c r="J12" s="172" t="n"/>
    </row>
    <row r="13" ht="20" customHeight="1">
      <c r="A13" s="366" t="inlineStr">
        <is>
          <t xml:space="preserve">  👷 Tenaga Lokal 40%</t>
        </is>
      </c>
      <c r="B13" s="171" t="n"/>
      <c r="C13" s="171" t="n"/>
      <c r="D13" s="171" t="n"/>
      <c r="E13" s="171" t="n"/>
      <c r="F13" s="171" t="n"/>
      <c r="G13" s="171" t="n"/>
      <c r="H13" s="376" t="n">
        <v>166200000</v>
      </c>
      <c r="I13" s="171" t="n"/>
      <c r="J13" s="172" t="n"/>
    </row>
    <row r="14" ht="20" customHeight="1">
      <c r="A14" s="377" t="inlineStr">
        <is>
          <t xml:space="preserve">    → Advance gaji sudah dibayar</t>
        </is>
      </c>
      <c r="B14" s="171" t="n"/>
      <c r="C14" s="171" t="n"/>
      <c r="D14" s="171" t="n"/>
      <c r="E14" s="171" t="n"/>
      <c r="F14" s="171" t="n"/>
      <c r="G14" s="171" t="n"/>
      <c r="H14" s="378" t="inlineStr">
        <is>
          <t>(Rp 115,650,000)</t>
        </is>
      </c>
      <c r="I14" s="171" t="n"/>
      <c r="J14" s="172" t="n"/>
    </row>
    <row r="15" ht="20" customHeight="1">
      <c r="A15" s="379" t="inlineStr">
        <is>
          <t xml:space="preserve">    → BONUS PANEN tunai</t>
        </is>
      </c>
      <c r="B15" s="171" t="n"/>
      <c r="C15" s="171" t="n"/>
      <c r="D15" s="171" t="n"/>
      <c r="E15" s="171" t="n"/>
      <c r="F15" s="171" t="n"/>
      <c r="G15" s="171" t="n"/>
      <c r="H15" s="380" t="n">
        <v>50550000</v>
      </c>
      <c r="I15" s="171" t="n"/>
      <c r="J15" s="172" t="n"/>
    </row>
    <row r="16" ht="20" customHeight="1">
      <c r="A16" s="381" t="inlineStr">
        <is>
          <t xml:space="preserve">  👦 Anak Binaan avg 3%</t>
        </is>
      </c>
      <c r="B16" s="171" t="n"/>
      <c r="C16" s="171" t="n"/>
      <c r="D16" s="171" t="n"/>
      <c r="E16" s="171" t="n"/>
      <c r="F16" s="171" t="n"/>
      <c r="G16" s="171" t="n"/>
      <c r="H16" s="382" t="n">
        <v>12465000</v>
      </c>
      <c r="I16" s="171" t="n"/>
      <c r="J16" s="172" t="n"/>
    </row>
    <row r="17" ht="20" customHeight="1">
      <c r="A17" s="383" t="inlineStr">
        <is>
          <t xml:space="preserve">  🎯 Fee Manajemen 10%</t>
        </is>
      </c>
      <c r="B17" s="171" t="n"/>
      <c r="C17" s="171" t="n"/>
      <c r="D17" s="171" t="n"/>
      <c r="E17" s="171" t="n"/>
      <c r="F17" s="171" t="n"/>
      <c r="G17" s="171" t="n"/>
      <c r="H17" s="384" t="n">
        <v>41550000</v>
      </c>
      <c r="I17" s="171" t="n"/>
      <c r="J17" s="172" t="n"/>
    </row>
    <row r="18"/>
    <row r="19" ht="20" customHeight="1">
      <c r="A19" s="385" t="inlineStr">
        <is>
          <t xml:space="preserve">  A. PERSIAPAN LAHAN (standar semua komoditi)</t>
        </is>
      </c>
      <c r="B19" s="171" t="n"/>
      <c r="C19" s="171" t="n"/>
      <c r="D19" s="171" t="n"/>
      <c r="E19" s="171" t="n"/>
      <c r="F19" s="171" t="n"/>
      <c r="G19" s="171" t="n"/>
      <c r="H19" s="171" t="n"/>
      <c r="I19" s="171" t="n"/>
      <c r="J19" s="172" t="n"/>
    </row>
    <row r="20" ht="26" customHeight="1">
      <c r="A20" s="488" t="inlineStr">
        <is>
          <t>No</t>
        </is>
      </c>
      <c r="B20" s="489" t="inlineStr">
        <is>
          <t>Uraian Pekerjaan / Item</t>
        </is>
      </c>
      <c r="C20" s="490" t="inlineStr">
        <is>
          <t>Vol</t>
        </is>
      </c>
      <c r="D20" s="490" t="inlineStr">
        <is>
          <t>Sat</t>
        </is>
      </c>
      <c r="E20" s="490" t="inlineStr">
        <is>
          <t>Harga Sat</t>
        </is>
      </c>
      <c r="F20" s="490" t="inlineStr">
        <is>
          <t>Total (Rp)</t>
        </is>
      </c>
      <c r="G20" s="490" t="inlineStr">
        <is>
          <t>Fase</t>
        </is>
      </c>
      <c r="H20" s="491" t="inlineStr">
        <is>
          <t>Keterangan</t>
        </is>
      </c>
      <c r="I20" s="178" t="n"/>
      <c r="J20" s="179" t="n"/>
    </row>
    <row r="21" ht="18" customHeight="1">
      <c r="A21" s="492" t="n">
        <v>1</v>
      </c>
      <c r="B21" s="493" t="inlineStr">
        <is>
          <t>Analisa tanah lab</t>
        </is>
      </c>
      <c r="C21" s="494" t="n">
        <v>1</v>
      </c>
      <c r="D21" s="494" t="inlineStr">
        <is>
          <t>paket</t>
        </is>
      </c>
      <c r="E21" s="183" t="n">
        <v>1500000</v>
      </c>
      <c r="F21" s="184" t="n">
        <v>1500000</v>
      </c>
      <c r="G21" s="393" t="inlineStr">
        <is>
          <t>Fase 0</t>
        </is>
      </c>
      <c r="H21" s="495" t="inlineStr">
        <is>
          <t>pH, NPK, tekstur</t>
        </is>
      </c>
      <c r="I21" s="171" t="n"/>
      <c r="J21" s="172" t="n"/>
    </row>
    <row r="22" ht="18" customHeight="1">
      <c r="A22" s="390" t="n">
        <v>2</v>
      </c>
      <c r="B22" s="476" t="inlineStr">
        <is>
          <t>Pembersihan lahan</t>
        </is>
      </c>
      <c r="C22" s="477" t="n">
        <v>10000</v>
      </c>
      <c r="D22" s="477" t="inlineStr">
        <is>
          <t>m²</t>
        </is>
      </c>
      <c r="E22" s="183" t="n">
        <v>500</v>
      </c>
      <c r="F22" s="401" t="n">
        <v>5000000</v>
      </c>
      <c r="G22" s="393" t="inlineStr">
        <is>
          <t>Fase 0</t>
        </is>
      </c>
      <c r="H22" s="394" t="inlineStr">
        <is>
          <t>ADVANCE</t>
        </is>
      </c>
      <c r="I22" s="171" t="n"/>
      <c r="J22" s="172" t="n"/>
    </row>
    <row r="23" ht="18" customHeight="1">
      <c r="A23" s="492" t="n">
        <v>3</v>
      </c>
      <c r="B23" s="493" t="inlineStr">
        <is>
          <t>Bajak &amp; gembur tanah</t>
        </is>
      </c>
      <c r="C23" s="494" t="n">
        <v>10000</v>
      </c>
      <c r="D23" s="494" t="inlineStr">
        <is>
          <t>m²</t>
        </is>
      </c>
      <c r="E23" s="183" t="n">
        <v>800</v>
      </c>
      <c r="F23" s="184" t="n">
        <v>8000000</v>
      </c>
      <c r="G23" s="393" t="inlineStr">
        <is>
          <t>Fase 0</t>
        </is>
      </c>
      <c r="H23" s="495" t="inlineStr">
        <is>
          <t>Mini traktor</t>
        </is>
      </c>
      <c r="I23" s="171" t="n"/>
      <c r="J23" s="172" t="n"/>
    </row>
    <row r="24" ht="18" customHeight="1">
      <c r="A24" s="187" t="n">
        <v>4</v>
      </c>
      <c r="B24" s="188" t="inlineStr">
        <is>
          <t>Dolomit / kaptan</t>
        </is>
      </c>
      <c r="C24" s="189" t="n">
        <v>2000</v>
      </c>
      <c r="D24" s="189" t="inlineStr">
        <is>
          <t>kg</t>
        </is>
      </c>
      <c r="E24" s="183" t="n">
        <v>1000</v>
      </c>
      <c r="F24" s="184" t="n">
        <v>2000000</v>
      </c>
      <c r="G24" s="393" t="inlineStr">
        <is>
          <t>Fase 0</t>
        </is>
      </c>
      <c r="H24" s="190" t="inlineStr">
        <is>
          <t>Target pH 6.0–6.5</t>
        </is>
      </c>
      <c r="I24" s="171" t="n"/>
      <c r="J24" s="172" t="n"/>
    </row>
    <row r="25" ht="18" customHeight="1">
      <c r="A25" s="492" t="n">
        <v>5</v>
      </c>
      <c r="B25" s="493" t="inlineStr">
        <is>
          <t>Bedengan + drainase</t>
        </is>
      </c>
      <c r="C25" s="494" t="n">
        <v>10000</v>
      </c>
      <c r="D25" s="494" t="inlineStr">
        <is>
          <t>m²</t>
        </is>
      </c>
      <c r="E25" s="183" t="n">
        <v>400</v>
      </c>
      <c r="F25" s="184" t="n">
        <v>4000000</v>
      </c>
      <c r="G25" s="393" t="inlineStr">
        <is>
          <t>Fase 0</t>
        </is>
      </c>
      <c r="H25" s="495" t="n"/>
      <c r="I25" s="171" t="n"/>
      <c r="J25" s="172" t="n"/>
    </row>
    <row r="26" ht="18" customHeight="1">
      <c r="A26" s="187" t="n">
        <v>6</v>
      </c>
      <c r="B26" s="188" t="inlineStr">
        <is>
          <t>Mulsa plastik HPP</t>
        </is>
      </c>
      <c r="C26" s="189" t="n">
        <v>100</v>
      </c>
      <c r="D26" s="189" t="inlineStr">
        <is>
          <t>roll</t>
        </is>
      </c>
      <c r="E26" s="183" t="n">
        <v>60000</v>
      </c>
      <c r="F26" s="184" t="n">
        <v>6000000</v>
      </c>
      <c r="G26" s="400" t="inlineStr">
        <is>
          <t>Fase 1</t>
        </is>
      </c>
      <c r="H26" s="190" t="inlineStr">
        <is>
          <t>Wajib untuk rempah &amp; cabai</t>
        </is>
      </c>
      <c r="I26" s="171" t="n"/>
      <c r="J26" s="172" t="n"/>
    </row>
    <row r="27" ht="18" customHeight="1">
      <c r="A27" s="492" t="n">
        <v>7</v>
      </c>
      <c r="B27" s="493" t="inlineStr">
        <is>
          <t>Jalan setapak sirtu</t>
        </is>
      </c>
      <c r="C27" s="494" t="n">
        <v>1</v>
      </c>
      <c r="D27" s="494" t="inlineStr">
        <is>
          <t>paket</t>
        </is>
      </c>
      <c r="E27" s="183" t="n">
        <v>3000000</v>
      </c>
      <c r="F27" s="184" t="n">
        <v>3000000</v>
      </c>
      <c r="G27" s="400" t="inlineStr">
        <is>
          <t>Fase 1</t>
        </is>
      </c>
      <c r="H27" s="495" t="n"/>
      <c r="I27" s="171" t="n"/>
      <c r="J27" s="172" t="n"/>
    </row>
    <row r="28" ht="18" customHeight="1">
      <c r="A28" s="390" t="n">
        <v>8</v>
      </c>
      <c r="B28" s="476" t="inlineStr">
        <is>
          <t>Gaji pekerja persiapan</t>
        </is>
      </c>
      <c r="C28" s="477" t="n">
        <v>15</v>
      </c>
      <c r="D28" s="477" t="inlineStr">
        <is>
          <t>HOK</t>
        </is>
      </c>
      <c r="E28" s="183" t="n">
        <v>150000</v>
      </c>
      <c r="F28" s="401" t="n">
        <v>2250000</v>
      </c>
      <c r="G28" s="393" t="inlineStr">
        <is>
          <t>Fase 0</t>
        </is>
      </c>
      <c r="H28" s="394" t="inlineStr">
        <is>
          <t>ADVANCE — dicatat per nama</t>
        </is>
      </c>
      <c r="I28" s="171" t="n"/>
      <c r="J28" s="172" t="n"/>
    </row>
    <row r="29" ht="20" customHeight="1">
      <c r="A29" s="496" t="inlineStr">
        <is>
          <t xml:space="preserve">  ▶ SUBTOTAL: PERSIAPAN LAHAN</t>
        </is>
      </c>
      <c r="B29" s="178" t="n"/>
      <c r="C29" s="178" t="n"/>
      <c r="D29" s="178" t="n"/>
      <c r="E29" s="178" t="n"/>
      <c r="F29" s="497" t="n">
        <v>31750000</v>
      </c>
      <c r="G29" s="498" t="n"/>
      <c r="H29" s="178" t="n"/>
      <c r="I29" s="178" t="n"/>
      <c r="J29" s="179" t="n"/>
    </row>
    <row r="30"/>
    <row r="31" ht="20" customHeight="1">
      <c r="A31" s="385" t="inlineStr">
        <is>
          <t xml:space="preserve">  B. PEMBIBITAN — Kapulaga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2" t="n"/>
    </row>
    <row r="32" ht="26" customHeight="1">
      <c r="A32" s="488" t="inlineStr">
        <is>
          <t>No</t>
        </is>
      </c>
      <c r="B32" s="489" t="inlineStr">
        <is>
          <t>Uraian Pekerjaan / Item</t>
        </is>
      </c>
      <c r="C32" s="490" t="inlineStr">
        <is>
          <t>Vol</t>
        </is>
      </c>
      <c r="D32" s="490" t="inlineStr">
        <is>
          <t>Sat</t>
        </is>
      </c>
      <c r="E32" s="490" t="inlineStr">
        <is>
          <t>Harga Sat</t>
        </is>
      </c>
      <c r="F32" s="490" t="inlineStr">
        <is>
          <t>Total (Rp)</t>
        </is>
      </c>
      <c r="G32" s="490" t="inlineStr">
        <is>
          <t>Fase</t>
        </is>
      </c>
      <c r="H32" s="491" t="inlineStr">
        <is>
          <t>Keterangan</t>
        </is>
      </c>
      <c r="I32" s="178" t="n"/>
      <c r="J32" s="179" t="n"/>
    </row>
    <row r="33" ht="18" customHeight="1">
      <c r="A33" s="492" t="n">
        <v>1</v>
      </c>
      <c r="B33" s="499" t="inlineStr">
        <is>
          <t>Bibit kapulaga (anakan dari rumpun induk)</t>
        </is>
      </c>
      <c r="C33" s="494" t="n">
        <v>2500</v>
      </c>
      <c r="D33" s="494" t="inlineStr">
        <is>
          <t>rumpun</t>
        </is>
      </c>
      <c r="E33" s="183" t="n">
        <v>15000</v>
      </c>
      <c r="F33" s="184" t="n">
        <v>37500000</v>
      </c>
      <c r="G33" s="400" t="inlineStr">
        <is>
          <t>Fase 1</t>
        </is>
      </c>
      <c r="H33" s="495" t="inlineStr">
        <is>
          <t>Jarak 2×2m, butuh 2.500 rumpun/ha. Investasi besar tapi perennial 10 thn</t>
        </is>
      </c>
      <c r="I33" s="171" t="n"/>
      <c r="J33" s="172" t="n"/>
    </row>
    <row r="34" ht="18" customHeight="1">
      <c r="A34" s="187" t="n">
        <v>2</v>
      </c>
      <c r="B34" s="188" t="inlineStr">
        <is>
          <t>Media semai polybag 20×30cm</t>
        </is>
      </c>
      <c r="C34" s="189" t="n">
        <v>2500</v>
      </c>
      <c r="D34" s="189" t="inlineStr">
        <is>
          <t>pcs</t>
        </is>
      </c>
      <c r="E34" s="183" t="n">
        <v>500</v>
      </c>
      <c r="F34" s="184" t="n">
        <v>1250000</v>
      </c>
      <c r="G34" s="400" t="inlineStr">
        <is>
          <t>Fase 1</t>
        </is>
      </c>
      <c r="H34" s="190" t="inlineStr">
        <is>
          <t>Semai 3–4 bulan sebelum pindah ke lahan</t>
        </is>
      </c>
      <c r="I34" s="171" t="n"/>
      <c r="J34" s="172" t="n"/>
    </row>
    <row r="35" ht="18" customHeight="1">
      <c r="A35" s="492" t="n">
        <v>3</v>
      </c>
      <c r="B35" s="499" t="inlineStr">
        <is>
          <t>Paranet 50–70% (kapulaga WAJIB naungan)</t>
        </is>
      </c>
      <c r="C35" s="494" t="n">
        <v>10000</v>
      </c>
      <c r="D35" s="494" t="inlineStr">
        <is>
          <t>m²</t>
        </is>
      </c>
      <c r="E35" s="183" t="n">
        <v>3500</v>
      </c>
      <c r="F35" s="184" t="n">
        <v>35000000</v>
      </c>
      <c r="G35" s="400" t="inlineStr">
        <is>
          <t>Fase 1</t>
        </is>
      </c>
      <c r="H35" s="495" t="inlineStr">
        <is>
          <t>Kapulaga tidak bisa di bawah terik matahari penuh! Bisa juga tanam di bawah pohon</t>
        </is>
      </c>
      <c r="I35" s="171" t="n"/>
      <c r="J35" s="172" t="n"/>
    </row>
    <row r="36" ht="20" customHeight="1">
      <c r="A36" s="496" t="inlineStr">
        <is>
          <t xml:space="preserve">  ▶ SUBTOTAL: BIBIT</t>
        </is>
      </c>
      <c r="B36" s="178" t="n"/>
      <c r="C36" s="178" t="n"/>
      <c r="D36" s="178" t="n"/>
      <c r="E36" s="178" t="n"/>
      <c r="F36" s="497" t="n">
        <v>73750000</v>
      </c>
      <c r="G36" s="498" t="n"/>
      <c r="H36" s="178" t="n"/>
      <c r="I36" s="178" t="n"/>
      <c r="J36" s="179" t="n"/>
    </row>
    <row r="37"/>
    <row r="38" ht="20" customHeight="1">
      <c r="A38" s="385" t="inlineStr">
        <is>
          <t xml:space="preserve">  C. IRIGASI &amp; PIPA (dari titik keran yayasan)</t>
        </is>
      </c>
      <c r="B38" s="171" t="n"/>
      <c r="C38" s="171" t="n"/>
      <c r="D38" s="171" t="n"/>
      <c r="E38" s="171" t="n"/>
      <c r="F38" s="171" t="n"/>
      <c r="G38" s="171" t="n"/>
      <c r="H38" s="171" t="n"/>
      <c r="I38" s="171" t="n"/>
      <c r="J38" s="172" t="n"/>
    </row>
    <row r="39" ht="26" customHeight="1">
      <c r="A39" s="488" t="inlineStr">
        <is>
          <t>No</t>
        </is>
      </c>
      <c r="B39" s="489" t="inlineStr">
        <is>
          <t>Uraian Pekerjaan / Item</t>
        </is>
      </c>
      <c r="C39" s="490" t="inlineStr">
        <is>
          <t>Vol</t>
        </is>
      </c>
      <c r="D39" s="490" t="inlineStr">
        <is>
          <t>Sat</t>
        </is>
      </c>
      <c r="E39" s="490" t="inlineStr">
        <is>
          <t>Harga Sat</t>
        </is>
      </c>
      <c r="F39" s="490" t="inlineStr">
        <is>
          <t>Total (Rp)</t>
        </is>
      </c>
      <c r="G39" s="490" t="inlineStr">
        <is>
          <t>Fase</t>
        </is>
      </c>
      <c r="H39" s="491" t="inlineStr">
        <is>
          <t>Keterangan</t>
        </is>
      </c>
      <c r="I39" s="178" t="n"/>
      <c r="J39" s="179" t="n"/>
    </row>
    <row r="40" ht="18" customHeight="1">
      <c r="A40" s="492" t="n">
        <v>1</v>
      </c>
      <c r="B40" s="493" t="inlineStr">
        <is>
          <t>Tandon air 1.000L (2 unit)</t>
        </is>
      </c>
      <c r="C40" s="494" t="n">
        <v>2</v>
      </c>
      <c r="D40" s="494" t="inlineStr">
        <is>
          <t>unit</t>
        </is>
      </c>
      <c r="E40" s="183" t="n">
        <v>800000</v>
      </c>
      <c r="F40" s="184" t="n">
        <v>1600000</v>
      </c>
      <c r="G40" s="400" t="inlineStr">
        <is>
          <t>Fase 1</t>
        </is>
      </c>
      <c r="H40" s="495" t="inlineStr">
        <is>
          <t>Dari titik keran yayasan</t>
        </is>
      </c>
      <c r="I40" s="171" t="n"/>
      <c r="J40" s="172" t="n"/>
    </row>
    <row r="41" ht="18" customHeight="1">
      <c r="A41" s="187" t="n">
        <v>2</v>
      </c>
      <c r="B41" s="188" t="inlineStr">
        <is>
          <t>Pipa PVC 1,5" utama</t>
        </is>
      </c>
      <c r="C41" s="189" t="n">
        <v>6</v>
      </c>
      <c r="D41" s="189" t="inlineStr">
        <is>
          <t>btg 4m</t>
        </is>
      </c>
      <c r="E41" s="183" t="n">
        <v>45000</v>
      </c>
      <c r="F41" s="184" t="n">
        <v>270000</v>
      </c>
      <c r="G41" s="400" t="inlineStr">
        <is>
          <t>Fase 1</t>
        </is>
      </c>
      <c r="H41" s="190" t="inlineStr">
        <is>
          <t>Tandon → manifold</t>
        </is>
      </c>
      <c r="I41" s="171" t="n"/>
      <c r="J41" s="172" t="n"/>
    </row>
    <row r="42" ht="18" customHeight="1">
      <c r="A42" s="492" t="n">
        <v>3</v>
      </c>
      <c r="B42" s="493" t="inlineStr">
        <is>
          <t>Manifold PVC 1" (4 zona)</t>
        </is>
      </c>
      <c r="C42" s="494" t="n">
        <v>4</v>
      </c>
      <c r="D42" s="494" t="inlineStr">
        <is>
          <t>unit</t>
        </is>
      </c>
      <c r="E42" s="183" t="n">
        <v>50000</v>
      </c>
      <c r="F42" s="184" t="n">
        <v>200000</v>
      </c>
      <c r="G42" s="400" t="inlineStr">
        <is>
          <t>Fase 1</t>
        </is>
      </c>
      <c r="H42" s="495" t="inlineStr">
        <is>
          <t>Tekanan merata per zona</t>
        </is>
      </c>
      <c r="I42" s="171" t="n"/>
      <c r="J42" s="172" t="n"/>
    </row>
    <row r="43" ht="18" customHeight="1">
      <c r="A43" s="187" t="n">
        <v>4</v>
      </c>
      <c r="B43" s="188" t="inlineStr">
        <is>
          <t>Pipa lateral PVC 3/4"</t>
        </is>
      </c>
      <c r="C43" s="189" t="n">
        <v>25</v>
      </c>
      <c r="D43" s="189" t="inlineStr">
        <is>
          <t>btg 4m</t>
        </is>
      </c>
      <c r="E43" s="183" t="n">
        <v>25000</v>
      </c>
      <c r="F43" s="184" t="n">
        <v>625000</v>
      </c>
      <c r="G43" s="400" t="inlineStr">
        <is>
          <t>Fase 1</t>
        </is>
      </c>
      <c r="H43" s="190" t="inlineStr">
        <is>
          <t>Ke blok bedeng</t>
        </is>
      </c>
      <c r="I43" s="171" t="n"/>
      <c r="J43" s="172" t="n"/>
    </row>
    <row r="44" ht="18" customHeight="1">
      <c r="A44" s="492" t="n">
        <v>5</v>
      </c>
      <c r="B44" s="493" t="inlineStr">
        <is>
          <t>Selang PE 1/2" drip line</t>
        </is>
      </c>
      <c r="C44" s="494" t="n">
        <v>300</v>
      </c>
      <c r="D44" s="494" t="inlineStr">
        <is>
          <t>m</t>
        </is>
      </c>
      <c r="E44" s="183" t="n">
        <v>5000</v>
      </c>
      <c r="F44" s="184" t="n">
        <v>1500000</v>
      </c>
      <c r="G44" s="400" t="inlineStr">
        <is>
          <t>Fase 1</t>
        </is>
      </c>
      <c r="H44" s="495" t="inlineStr">
        <is>
          <t>Per baris tanaman</t>
        </is>
      </c>
      <c r="I44" s="171" t="n"/>
      <c r="J44" s="172" t="n"/>
    </row>
    <row r="45" ht="18" customHeight="1">
      <c r="A45" s="187" t="n">
        <v>6</v>
      </c>
      <c r="B45" s="188" t="inlineStr">
        <is>
          <t>Emitter drip 2L/jam (2,500 pcs)</t>
        </is>
      </c>
      <c r="C45" s="189" t="n">
        <v>2500</v>
      </c>
      <c r="D45" s="189" t="inlineStr">
        <is>
          <t>pcs</t>
        </is>
      </c>
      <c r="E45" s="183" t="n">
        <v>600</v>
      </c>
      <c r="F45" s="184" t="n">
        <v>1500000</v>
      </c>
      <c r="G45" s="400" t="inlineStr">
        <is>
          <t>Fase 1</t>
        </is>
      </c>
      <c r="H45" s="190" t="inlineStr">
        <is>
          <t>1 per tanaman</t>
        </is>
      </c>
      <c r="I45" s="171" t="n"/>
      <c r="J45" s="172" t="n"/>
    </row>
    <row r="46" ht="18" customHeight="1">
      <c r="A46" s="492" t="n">
        <v>7</v>
      </c>
      <c r="B46" s="493" t="inlineStr">
        <is>
          <t>Ball valve 3/4" per zona</t>
        </is>
      </c>
      <c r="C46" s="494" t="n">
        <v>8</v>
      </c>
      <c r="D46" s="494" t="inlineStr">
        <is>
          <t>pcs</t>
        </is>
      </c>
      <c r="E46" s="183" t="n">
        <v>25000</v>
      </c>
      <c r="F46" s="184" t="n">
        <v>200000</v>
      </c>
      <c r="G46" s="400" t="inlineStr">
        <is>
          <t>Fase 1</t>
        </is>
      </c>
      <c r="H46" s="495" t="n"/>
      <c r="I46" s="171" t="n"/>
      <c r="J46" s="172" t="n"/>
    </row>
    <row r="47" ht="18" customHeight="1">
      <c r="A47" s="187" t="n">
        <v>8</v>
      </c>
      <c r="B47" s="188" t="inlineStr">
        <is>
          <t>Filter sedimen</t>
        </is>
      </c>
      <c r="C47" s="189" t="n">
        <v>2</v>
      </c>
      <c r="D47" s="189" t="inlineStr">
        <is>
          <t>unit</t>
        </is>
      </c>
      <c r="E47" s="183" t="n">
        <v>150000</v>
      </c>
      <c r="F47" s="184" t="n">
        <v>300000</v>
      </c>
      <c r="G47" s="400" t="inlineStr">
        <is>
          <t>Fase 1</t>
        </is>
      </c>
      <c r="H47" s="190" t="inlineStr">
        <is>
          <t>Cegah buntu</t>
        </is>
      </c>
      <c r="I47" s="171" t="n"/>
      <c r="J47" s="172" t="n"/>
    </row>
    <row r="48" ht="18" customHeight="1">
      <c r="A48" s="492" t="n">
        <v>9</v>
      </c>
      <c r="B48" s="493" t="inlineStr">
        <is>
          <t>Fitting (elbow, T, keni, lem)</t>
        </is>
      </c>
      <c r="C48" s="494" t="n">
        <v>1</v>
      </c>
      <c r="D48" s="494" t="inlineStr">
        <is>
          <t>paket</t>
        </is>
      </c>
      <c r="E48" s="183" t="n">
        <v>350000</v>
      </c>
      <c r="F48" s="184" t="n">
        <v>350000</v>
      </c>
      <c r="G48" s="400" t="inlineStr">
        <is>
          <t>Fase 1</t>
        </is>
      </c>
      <c r="H48" s="495" t="n"/>
      <c r="I48" s="171" t="n"/>
      <c r="J48" s="172" t="n"/>
    </row>
    <row r="49" ht="18" customHeight="1">
      <c r="A49" s="187" t="n">
        <v>10</v>
      </c>
      <c r="B49" s="188" t="inlineStr">
        <is>
          <t>Selang siram manual backup</t>
        </is>
      </c>
      <c r="C49" s="189" t="n">
        <v>2</v>
      </c>
      <c r="D49" s="189" t="inlineStr">
        <is>
          <t>gulung</t>
        </is>
      </c>
      <c r="E49" s="183" t="n">
        <v>200000</v>
      </c>
      <c r="F49" s="184" t="n">
        <v>400000</v>
      </c>
      <c r="G49" s="400" t="inlineStr">
        <is>
          <t>Fase 1</t>
        </is>
      </c>
      <c r="H49" s="190" t="n"/>
      <c r="I49" s="171" t="n"/>
      <c r="J49" s="172" t="n"/>
    </row>
    <row r="50" ht="18" customHeight="1">
      <c r="A50" s="492" t="n">
        <v>11</v>
      </c>
      <c r="B50" s="493" t="inlineStr">
        <is>
          <t>Pompa celup 125W (jika diperlukan)</t>
        </is>
      </c>
      <c r="C50" s="494" t="n">
        <v>1</v>
      </c>
      <c r="D50" s="494" t="inlineStr">
        <is>
          <t>unit</t>
        </is>
      </c>
      <c r="E50" s="183" t="n">
        <v>800000</v>
      </c>
      <c r="F50" s="184" t="n">
        <v>800000</v>
      </c>
      <c r="G50" s="400" t="inlineStr">
        <is>
          <t>Fase 1</t>
        </is>
      </c>
      <c r="H50" s="495" t="inlineStr">
        <is>
          <t>Cek elevasi dulu</t>
        </is>
      </c>
      <c r="I50" s="171" t="n"/>
      <c r="J50" s="172" t="n"/>
    </row>
    <row r="51" ht="18" customHeight="1">
      <c r="A51" s="187" t="n">
        <v>12</v>
      </c>
      <c r="B51" s="188" t="inlineStr">
        <is>
          <t>Sistem irigasi tetes khusus (2 emitter/rumpun)</t>
        </is>
      </c>
      <c r="C51" s="189" t="n">
        <v>5000</v>
      </c>
      <c r="D51" s="189" t="inlineStr">
        <is>
          <t>pcs</t>
        </is>
      </c>
      <c r="E51" s="183" t="n">
        <v>600</v>
      </c>
      <c r="F51" s="184" t="n">
        <v>3000000</v>
      </c>
      <c r="G51" s="400" t="inlineStr">
        <is>
          <t>Fase 1</t>
        </is>
      </c>
      <c r="H51" s="190" t="inlineStr">
        <is>
          <t>Kapulaga butuh kelembaban konstan. 2 emitter per rumpun</t>
        </is>
      </c>
      <c r="I51" s="171" t="n"/>
      <c r="J51" s="172" t="n"/>
    </row>
    <row r="52" ht="20" customHeight="1">
      <c r="A52" s="496" t="inlineStr">
        <is>
          <t xml:space="preserve">  ▶ SUBTOTAL: IRIGASI</t>
        </is>
      </c>
      <c r="B52" s="178" t="n"/>
      <c r="C52" s="178" t="n"/>
      <c r="D52" s="178" t="n"/>
      <c r="E52" s="178" t="n"/>
      <c r="F52" s="497" t="n">
        <v>10745000</v>
      </c>
      <c r="G52" s="498" t="n"/>
      <c r="H52" s="178" t="n"/>
      <c r="I52" s="178" t="n"/>
      <c r="J52" s="179" t="n"/>
    </row>
    <row r="53"/>
    <row r="54" ht="20" customHeight="1">
      <c r="A54" s="385" t="inlineStr">
        <is>
          <t xml:space="preserve">  D. PUPUK &amp; NUTRISI</t>
        </is>
      </c>
      <c r="B54" s="171" t="n"/>
      <c r="C54" s="171" t="n"/>
      <c r="D54" s="171" t="n"/>
      <c r="E54" s="171" t="n"/>
      <c r="F54" s="171" t="n"/>
      <c r="G54" s="171" t="n"/>
      <c r="H54" s="171" t="n"/>
      <c r="I54" s="171" t="n"/>
      <c r="J54" s="172" t="n"/>
    </row>
    <row r="55" ht="26" customHeight="1">
      <c r="A55" s="488" t="inlineStr">
        <is>
          <t>No</t>
        </is>
      </c>
      <c r="B55" s="489" t="inlineStr">
        <is>
          <t>Uraian Pekerjaan / Item</t>
        </is>
      </c>
      <c r="C55" s="490" t="inlineStr">
        <is>
          <t>Vol</t>
        </is>
      </c>
      <c r="D55" s="490" t="inlineStr">
        <is>
          <t>Sat</t>
        </is>
      </c>
      <c r="E55" s="490" t="inlineStr">
        <is>
          <t>Harga Sat</t>
        </is>
      </c>
      <c r="F55" s="490" t="inlineStr">
        <is>
          <t>Total (Rp)</t>
        </is>
      </c>
      <c r="G55" s="490" t="inlineStr">
        <is>
          <t>Fase</t>
        </is>
      </c>
      <c r="H55" s="491" t="inlineStr">
        <is>
          <t>Keterangan</t>
        </is>
      </c>
      <c r="I55" s="178" t="n"/>
      <c r="J55" s="179" t="n"/>
    </row>
    <row r="56" ht="18" customHeight="1">
      <c r="A56" s="492" t="n">
        <v>1</v>
      </c>
      <c r="B56" s="493" t="inlineStr">
        <is>
          <t>Pupuk kandang matang 20 ton/ha</t>
        </is>
      </c>
      <c r="C56" s="494" t="n">
        <v>20000</v>
      </c>
      <c r="D56" s="494" t="inlineStr">
        <is>
          <t>kg</t>
        </is>
      </c>
      <c r="E56" s="183" t="n">
        <v>300</v>
      </c>
      <c r="F56" s="184" t="n">
        <v>6000000</v>
      </c>
      <c r="G56" s="393" t="inlineStr">
        <is>
          <t>Fase 0</t>
        </is>
      </c>
      <c r="H56" s="495" t="inlineStr">
        <is>
          <t>2 mgg sebelum tanam</t>
        </is>
      </c>
      <c r="I56" s="171" t="n"/>
      <c r="J56" s="172" t="n"/>
    </row>
    <row r="57" ht="18" customHeight="1">
      <c r="A57" s="187" t="n">
        <v>2</v>
      </c>
      <c r="B57" s="188" t="inlineStr">
        <is>
          <t>NPK 16-16-16</t>
        </is>
      </c>
      <c r="C57" s="189" t="n">
        <v>500</v>
      </c>
      <c r="D57" s="189" t="inlineStr">
        <is>
          <t>kg</t>
        </is>
      </c>
      <c r="E57" s="183" t="n">
        <v>8500</v>
      </c>
      <c r="F57" s="184" t="n">
        <v>4250000</v>
      </c>
      <c r="G57" s="400" t="inlineStr">
        <is>
          <t>Fase 1</t>
        </is>
      </c>
      <c r="H57" s="190" t="inlineStr">
        <is>
          <t>50% dasar, 50% susulan</t>
        </is>
      </c>
      <c r="I57" s="171" t="n"/>
      <c r="J57" s="172" t="n"/>
    </row>
    <row r="58" ht="18" customHeight="1">
      <c r="A58" s="492" t="n">
        <v>3</v>
      </c>
      <c r="B58" s="493" t="inlineStr">
        <is>
          <t>SP-36 fosfor akar</t>
        </is>
      </c>
      <c r="C58" s="494" t="n">
        <v>150</v>
      </c>
      <c r="D58" s="494" t="inlineStr">
        <is>
          <t>kg</t>
        </is>
      </c>
      <c r="E58" s="183" t="n">
        <v>5500</v>
      </c>
      <c r="F58" s="184" t="n">
        <v>825000</v>
      </c>
      <c r="G58" s="393" t="inlineStr">
        <is>
          <t>Fase 0</t>
        </is>
      </c>
      <c r="H58" s="495" t="n"/>
      <c r="I58" s="171" t="n"/>
      <c r="J58" s="172" t="n"/>
    </row>
    <row r="59" ht="18" customHeight="1">
      <c r="A59" s="187" t="n">
        <v>4</v>
      </c>
      <c r="B59" s="188" t="inlineStr">
        <is>
          <t>Pupuk organik cair MOL</t>
        </is>
      </c>
      <c r="C59" s="189" t="n">
        <v>8</v>
      </c>
      <c r="D59" s="189" t="inlineStr">
        <is>
          <t>bln</t>
        </is>
      </c>
      <c r="E59" s="183" t="n">
        <v>300000</v>
      </c>
      <c r="F59" s="184" t="n">
        <v>2400000</v>
      </c>
      <c r="G59" s="406" t="inlineStr">
        <is>
          <t>Rutin</t>
        </is>
      </c>
      <c r="H59" s="190" t="inlineStr">
        <is>
          <t>2× sebulan</t>
        </is>
      </c>
      <c r="I59" s="171" t="n"/>
      <c r="J59" s="172" t="n"/>
    </row>
    <row r="60" ht="18" customHeight="1">
      <c r="A60" s="492" t="n">
        <v>5</v>
      </c>
      <c r="B60" s="493" t="inlineStr">
        <is>
          <t>Trichoderma sp. (biofungisida)</t>
        </is>
      </c>
      <c r="C60" s="494" t="n">
        <v>5</v>
      </c>
      <c r="D60" s="494" t="inlineStr">
        <is>
          <t>kg</t>
        </is>
      </c>
      <c r="E60" s="183" t="n">
        <v>80000</v>
      </c>
      <c r="F60" s="184" t="n">
        <v>400000</v>
      </c>
      <c r="G60" s="400" t="inlineStr">
        <is>
          <t>Fase 1</t>
        </is>
      </c>
      <c r="H60" s="495" t="n"/>
      <c r="I60" s="171" t="n"/>
      <c r="J60" s="172" t="n"/>
    </row>
    <row r="61" ht="18" customHeight="1">
      <c r="A61" s="187" t="n">
        <v>6</v>
      </c>
      <c r="B61" s="188" t="inlineStr">
        <is>
          <t>Pupuk kandang dosis tinggi (30 ton/ha)</t>
        </is>
      </c>
      <c r="C61" s="189" t="n">
        <v>30000</v>
      </c>
      <c r="D61" s="189" t="inlineStr">
        <is>
          <t>kg</t>
        </is>
      </c>
      <c r="E61" s="183" t="n">
        <v>300</v>
      </c>
      <c r="F61" s="184" t="n">
        <v>9000000</v>
      </c>
      <c r="G61" s="393" t="inlineStr">
        <is>
          <t>Fase 0</t>
        </is>
      </c>
      <c r="H61" s="190" t="inlineStr">
        <is>
          <t>Kapulaga suka bahan organik tinggi. Lebih banyak dari komoditi lain</t>
        </is>
      </c>
      <c r="I61" s="171" t="n"/>
      <c r="J61" s="172" t="n"/>
    </row>
    <row r="62" ht="18" customHeight="1">
      <c r="A62" s="492" t="n">
        <v>7</v>
      </c>
      <c r="B62" s="493" t="inlineStr">
        <is>
          <t>ZPT Paclobutrazol (stimulasi bunga)</t>
        </is>
      </c>
      <c r="C62" s="494" t="n">
        <v>1</v>
      </c>
      <c r="D62" s="494" t="inlineStr">
        <is>
          <t>kg</t>
        </is>
      </c>
      <c r="E62" s="183" t="n">
        <v>350000</v>
      </c>
      <c r="F62" s="184" t="n">
        <v>350000</v>
      </c>
      <c r="G62" s="443" t="inlineStr">
        <is>
          <t>Fase 2</t>
        </is>
      </c>
      <c r="H62" s="495" t="inlineStr">
        <is>
          <t>Aplikasi tahun ke-2 untuk percepat dan perbanyak pembungaan</t>
        </is>
      </c>
      <c r="I62" s="171" t="n"/>
      <c r="J62" s="172" t="n"/>
    </row>
    <row r="63" ht="18" customHeight="1">
      <c r="A63" s="187" t="n">
        <v>8</v>
      </c>
      <c r="B63" s="188" t="inlineStr">
        <is>
          <t>Boron + Seng mikro (kualitas biji)</t>
        </is>
      </c>
      <c r="C63" s="189" t="n">
        <v>5</v>
      </c>
      <c r="D63" s="189" t="inlineStr">
        <is>
          <t>kg</t>
        </is>
      </c>
      <c r="E63" s="183" t="n">
        <v>80000</v>
      </c>
      <c r="F63" s="184" t="n">
        <v>400000</v>
      </c>
      <c r="G63" s="406" t="inlineStr">
        <is>
          <t>Rutin</t>
        </is>
      </c>
      <c r="H63" s="190" t="inlineStr">
        <is>
          <t>Meningkatkan aroma dan minyak atsiri dalam biji kapulaga</t>
        </is>
      </c>
      <c r="I63" s="171" t="n"/>
      <c r="J63" s="172" t="n"/>
    </row>
    <row r="64" ht="20" customHeight="1">
      <c r="A64" s="496" t="inlineStr">
        <is>
          <t xml:space="preserve">  ▶ SUBTOTAL: PUPUK</t>
        </is>
      </c>
      <c r="B64" s="178" t="n"/>
      <c r="C64" s="178" t="n"/>
      <c r="D64" s="178" t="n"/>
      <c r="E64" s="178" t="n"/>
      <c r="F64" s="497" t="n">
        <v>23625000</v>
      </c>
      <c r="G64" s="498" t="n"/>
      <c r="H64" s="178" t="n"/>
      <c r="I64" s="178" t="n"/>
      <c r="J64" s="179" t="n"/>
    </row>
    <row r="65"/>
    <row r="66" ht="20" customHeight="1">
      <c r="A66" s="385" t="inlineStr">
        <is>
          <t xml:space="preserve">  E. ALAT &amp; PERLENGKAPAN</t>
        </is>
      </c>
      <c r="B66" s="171" t="n"/>
      <c r="C66" s="171" t="n"/>
      <c r="D66" s="171" t="n"/>
      <c r="E66" s="171" t="n"/>
      <c r="F66" s="171" t="n"/>
      <c r="G66" s="171" t="n"/>
      <c r="H66" s="171" t="n"/>
      <c r="I66" s="171" t="n"/>
      <c r="J66" s="172" t="n"/>
    </row>
    <row r="67" ht="26" customHeight="1">
      <c r="A67" s="488" t="inlineStr">
        <is>
          <t>No</t>
        </is>
      </c>
      <c r="B67" s="489" t="inlineStr">
        <is>
          <t>Uraian Pekerjaan / Item</t>
        </is>
      </c>
      <c r="C67" s="490" t="inlineStr">
        <is>
          <t>Vol</t>
        </is>
      </c>
      <c r="D67" s="490" t="inlineStr">
        <is>
          <t>Sat</t>
        </is>
      </c>
      <c r="E67" s="490" t="inlineStr">
        <is>
          <t>Harga Sat</t>
        </is>
      </c>
      <c r="F67" s="490" t="inlineStr">
        <is>
          <t>Total (Rp)</t>
        </is>
      </c>
      <c r="G67" s="490" t="inlineStr">
        <is>
          <t>Fase</t>
        </is>
      </c>
      <c r="H67" s="491" t="inlineStr">
        <is>
          <t>Keterangan</t>
        </is>
      </c>
      <c r="I67" s="178" t="n"/>
      <c r="J67" s="179" t="n"/>
    </row>
    <row r="68" ht="18" customHeight="1">
      <c r="A68" s="492" t="n">
        <v>1</v>
      </c>
      <c r="B68" s="493" t="inlineStr">
        <is>
          <t>Cangkul, sekop, garpu (4 set)</t>
        </is>
      </c>
      <c r="C68" s="494" t="n">
        <v>4</v>
      </c>
      <c r="D68" s="494" t="inlineStr">
        <is>
          <t>set</t>
        </is>
      </c>
      <c r="E68" s="183" t="n">
        <v>120000</v>
      </c>
      <c r="F68" s="184" t="n">
        <v>480000</v>
      </c>
      <c r="G68" s="393" t="inlineStr">
        <is>
          <t>Fase 0</t>
        </is>
      </c>
      <c r="H68" s="495" t="n"/>
      <c r="I68" s="171" t="n"/>
      <c r="J68" s="172" t="n"/>
    </row>
    <row r="69" ht="18" customHeight="1">
      <c r="A69" s="187" t="n">
        <v>2</v>
      </c>
      <c r="B69" s="188" t="inlineStr">
        <is>
          <t>Knapsack sprayer 16L (2 unit)</t>
        </is>
      </c>
      <c r="C69" s="189" t="n">
        <v>2</v>
      </c>
      <c r="D69" s="189" t="inlineStr">
        <is>
          <t>unit</t>
        </is>
      </c>
      <c r="E69" s="183" t="n">
        <v>350000</v>
      </c>
      <c r="F69" s="184" t="n">
        <v>700000</v>
      </c>
      <c r="G69" s="400" t="inlineStr">
        <is>
          <t>Fase 1</t>
        </is>
      </c>
      <c r="H69" s="190" t="inlineStr">
        <is>
          <t>1 pupuk, 1 pestisida</t>
        </is>
      </c>
      <c r="I69" s="171" t="n"/>
      <c r="J69" s="172" t="n"/>
    </row>
    <row r="70" ht="18" customHeight="1">
      <c r="A70" s="492" t="n">
        <v>3</v>
      </c>
      <c r="B70" s="493" t="inlineStr">
        <is>
          <t>Timbangan digital 50kg</t>
        </is>
      </c>
      <c r="C70" s="494" t="n">
        <v>1</v>
      </c>
      <c r="D70" s="494" t="inlineStr">
        <is>
          <t>unit</t>
        </is>
      </c>
      <c r="E70" s="183" t="n">
        <v>450000</v>
      </c>
      <c r="F70" s="184" t="n">
        <v>450000</v>
      </c>
      <c r="G70" s="400" t="inlineStr">
        <is>
          <t>Fase 1</t>
        </is>
      </c>
      <c r="H70" s="495" t="n"/>
      <c r="I70" s="171" t="n"/>
      <c r="J70" s="172" t="n"/>
    </row>
    <row r="71" ht="18" customHeight="1">
      <c r="A71" s="187" t="n">
        <v>4</v>
      </c>
      <c r="B71" s="188" t="inlineStr">
        <is>
          <t>Karung panen 25kg (200 pcs)</t>
        </is>
      </c>
      <c r="C71" s="189" t="n">
        <v>200</v>
      </c>
      <c r="D71" s="189" t="inlineStr">
        <is>
          <t>pcs</t>
        </is>
      </c>
      <c r="E71" s="183" t="n">
        <v>2500</v>
      </c>
      <c r="F71" s="184" t="n">
        <v>500000</v>
      </c>
      <c r="G71" s="400" t="inlineStr">
        <is>
          <t>Fase 1</t>
        </is>
      </c>
      <c r="H71" s="190" t="n"/>
      <c r="I71" s="171" t="n"/>
      <c r="J71" s="172" t="n"/>
    </row>
    <row r="72" ht="18" customHeight="1">
      <c r="A72" s="492" t="n">
        <v>5</v>
      </c>
      <c r="B72" s="493" t="inlineStr">
        <is>
          <t>Keranjang plastik berlubang</t>
        </is>
      </c>
      <c r="C72" s="494" t="n">
        <v>20</v>
      </c>
      <c r="D72" s="494" t="inlineStr">
        <is>
          <t>pcs</t>
        </is>
      </c>
      <c r="E72" s="183" t="n">
        <v>25000</v>
      </c>
      <c r="F72" s="184" t="n">
        <v>500000</v>
      </c>
      <c r="G72" s="400" t="inlineStr">
        <is>
          <t>Fase 1</t>
        </is>
      </c>
      <c r="H72" s="495" t="n"/>
      <c r="I72" s="171" t="n"/>
      <c r="J72" s="172" t="n"/>
    </row>
    <row r="73" ht="18" customHeight="1">
      <c r="A73" s="187" t="n">
        <v>6</v>
      </c>
      <c r="B73" s="188" t="inlineStr">
        <is>
          <t>APD lengkap (4 set)</t>
        </is>
      </c>
      <c r="C73" s="189" t="n">
        <v>4</v>
      </c>
      <c r="D73" s="189" t="inlineStr">
        <is>
          <t>set</t>
        </is>
      </c>
      <c r="E73" s="183" t="n">
        <v>100000</v>
      </c>
      <c r="F73" s="184" t="n">
        <v>400000</v>
      </c>
      <c r="G73" s="400" t="inlineStr">
        <is>
          <t>Fase 1</t>
        </is>
      </c>
      <c r="H73" s="190" t="n"/>
      <c r="I73" s="171" t="n"/>
      <c r="J73" s="172" t="n"/>
    </row>
    <row r="74" ht="18" customHeight="1">
      <c r="A74" s="492" t="n">
        <v>7</v>
      </c>
      <c r="B74" s="493" t="inlineStr">
        <is>
          <t>Gunting/alat panen buah kapulaga</t>
        </is>
      </c>
      <c r="C74" s="494" t="n">
        <v>6</v>
      </c>
      <c r="D74" s="494" t="inlineStr">
        <is>
          <t>unit</t>
        </is>
      </c>
      <c r="E74" s="183" t="n">
        <v>30000</v>
      </c>
      <c r="F74" s="184" t="n">
        <v>180000</v>
      </c>
      <c r="G74" s="443" t="inlineStr">
        <is>
          <t>Fase 2</t>
        </is>
      </c>
      <c r="H74" s="495" t="inlineStr">
        <is>
          <t>Panen buah per tangkai. Selektif, jangan rusak tangkai bunga</t>
        </is>
      </c>
      <c r="I74" s="171" t="n"/>
      <c r="J74" s="172" t="n"/>
    </row>
    <row r="75" ht="18" customHeight="1">
      <c r="A75" s="187" t="n">
        <v>8</v>
      </c>
      <c r="B75" s="409" t="inlineStr">
        <is>
          <t>Oven pengering biji kapulaga (60°C)</t>
        </is>
      </c>
      <c r="C75" s="189" t="n">
        <v>1</v>
      </c>
      <c r="D75" s="189" t="inlineStr">
        <is>
          <t>unit</t>
        </is>
      </c>
      <c r="E75" s="183" t="n">
        <v>5000000</v>
      </c>
      <c r="F75" s="184" t="n">
        <v>5000000</v>
      </c>
      <c r="G75" s="443" t="inlineStr">
        <is>
          <t>Fase 2</t>
        </is>
      </c>
      <c r="H75" s="190" t="inlineStr">
        <is>
          <t>Biji kering &lt; 12% kadar air. Warna hijau dipertahankan = premium</t>
        </is>
      </c>
      <c r="I75" s="171" t="n"/>
      <c r="J75" s="172" t="n"/>
    </row>
    <row r="76" ht="18" customHeight="1">
      <c r="A76" s="492" t="n">
        <v>9</v>
      </c>
      <c r="B76" s="493" t="inlineStr">
        <is>
          <t>Mesin gosok/poles biji kapulaga</t>
        </is>
      </c>
      <c r="C76" s="494" t="n">
        <v>1</v>
      </c>
      <c r="D76" s="494" t="inlineStr">
        <is>
          <t>unit</t>
        </is>
      </c>
      <c r="E76" s="183" t="n">
        <v>2000000</v>
      </c>
      <c r="F76" s="184" t="n">
        <v>2000000</v>
      </c>
      <c r="G76" s="443" t="inlineStr">
        <is>
          <t>Fase 2</t>
        </is>
      </c>
      <c r="H76" s="495" t="inlineStr">
        <is>
          <t>Sortasi &amp; poles biji kapulaga untuk penampilan premium ekspor</t>
        </is>
      </c>
      <c r="I76" s="171" t="n"/>
      <c r="J76" s="172" t="n"/>
    </row>
    <row r="77" ht="20" customHeight="1">
      <c r="A77" s="496" t="inlineStr">
        <is>
          <t xml:space="preserve">  ▶ SUBTOTAL: ALAT</t>
        </is>
      </c>
      <c r="B77" s="178" t="n"/>
      <c r="C77" s="178" t="n"/>
      <c r="D77" s="178" t="n"/>
      <c r="E77" s="178" t="n"/>
      <c r="F77" s="497" t="n">
        <v>10210000</v>
      </c>
      <c r="G77" s="498" t="n"/>
      <c r="H77" s="178" t="n"/>
      <c r="I77" s="178" t="n"/>
      <c r="J77" s="179" t="n"/>
    </row>
    <row r="78"/>
    <row r="79" ht="20" customHeight="1">
      <c r="A79" s="385" t="inlineStr">
        <is>
          <t xml:space="preserve">  F. TENAGA KERJA — SISTEM GAJI ADVANCE</t>
        </is>
      </c>
      <c r="B79" s="171" t="n"/>
      <c r="C79" s="171" t="n"/>
      <c r="D79" s="171" t="n"/>
      <c r="E79" s="171" t="n"/>
      <c r="F79" s="171" t="n"/>
      <c r="G79" s="171" t="n"/>
      <c r="H79" s="171" t="n"/>
      <c r="I79" s="171" t="n"/>
      <c r="J79" s="172" t="n"/>
    </row>
    <row r="80" ht="28" customHeight="1">
      <c r="A80" s="408" t="inlineStr">
        <is>
          <t xml:space="preserve">  ⚠️ Semua gaji di bawah = ADVANCE dari modal yayasan. Total advance Rp 115,650,000 dipotong dari porsi 40% (= Rp 166,200,000) saat panen. Bonus tunai saat panen = Rp 50,550,000</t>
        </is>
      </c>
      <c r="B80" s="171" t="n"/>
      <c r="C80" s="171" t="n"/>
      <c r="D80" s="171" t="n"/>
      <c r="E80" s="171" t="n"/>
      <c r="F80" s="171" t="n"/>
      <c r="G80" s="171" t="n"/>
      <c r="H80" s="171" t="n"/>
      <c r="I80" s="171" t="n"/>
      <c r="J80" s="172" t="n"/>
    </row>
    <row r="81" ht="26" customHeight="1">
      <c r="A81" s="488" t="inlineStr">
        <is>
          <t>No</t>
        </is>
      </c>
      <c r="B81" s="489" t="inlineStr">
        <is>
          <t>Uraian Pekerjaan / Item</t>
        </is>
      </c>
      <c r="C81" s="490" t="inlineStr">
        <is>
          <t>Vol</t>
        </is>
      </c>
      <c r="D81" s="490" t="inlineStr">
        <is>
          <t>Sat</t>
        </is>
      </c>
      <c r="E81" s="490" t="inlineStr">
        <is>
          <t>Harga Sat</t>
        </is>
      </c>
      <c r="F81" s="490" t="inlineStr">
        <is>
          <t>Total (Rp)</t>
        </is>
      </c>
      <c r="G81" s="490" t="inlineStr">
        <is>
          <t>Fase</t>
        </is>
      </c>
      <c r="H81" s="491" t="inlineStr">
        <is>
          <t>Keterangan</t>
        </is>
      </c>
      <c r="I81" s="178" t="n"/>
      <c r="J81" s="179" t="n"/>
    </row>
    <row r="82" ht="18" customHeight="1">
      <c r="A82" s="390" t="n">
        <v>1</v>
      </c>
      <c r="B82" s="408" t="inlineStr">
        <is>
          <t>Penanaman rumpun (6 org × 7 hari)</t>
        </is>
      </c>
      <c r="C82" s="477" t="n">
        <v>42</v>
      </c>
      <c r="D82" s="477" t="inlineStr">
        <is>
          <t>HOK</t>
        </is>
      </c>
      <c r="E82" s="183" t="n">
        <v>150000</v>
      </c>
      <c r="F82" s="401" t="n">
        <v>6300000</v>
      </c>
      <c r="G82" s="400" t="inlineStr">
        <is>
          <t>Fase 1</t>
        </is>
      </c>
      <c r="H82" s="394" t="inlineStr">
        <is>
          <t>ADVANCE. Kapulaga butuh presisi tanam di bawah naungan</t>
        </is>
      </c>
      <c r="I82" s="171" t="n"/>
      <c r="J82" s="172" t="n"/>
    </row>
    <row r="83" ht="18" customHeight="1">
      <c r="A83" s="390" t="n">
        <v>2</v>
      </c>
      <c r="B83" s="408" t="inlineStr">
        <is>
          <t>Perawatan intensif tahun 1–2 (2 org × 24 bln)</t>
        </is>
      </c>
      <c r="C83" s="477" t="n">
        <v>2</v>
      </c>
      <c r="D83" s="477" t="inlineStr">
        <is>
          <t>org/bln</t>
        </is>
      </c>
      <c r="E83" s="183" t="n">
        <v>2000000</v>
      </c>
      <c r="F83" s="401" t="n">
        <v>96000000</v>
      </c>
      <c r="G83" s="406" t="inlineStr">
        <is>
          <t>Rutin</t>
        </is>
      </c>
      <c r="H83" s="394" t="inlineStr">
        <is>
          <t>ADVANCE. Rawat naungan, semprot, pupuk rutin. 24 bulan sebelum panen pertama</t>
        </is>
      </c>
      <c r="I83" s="171" t="n"/>
      <c r="J83" s="172" t="n"/>
    </row>
    <row r="84" ht="18" customHeight="1">
      <c r="A84" s="390" t="n">
        <v>3</v>
      </c>
      <c r="B84" s="476" t="inlineStr">
        <is>
          <t>Panen buah bertahap (3 org × 3 kali/thn)</t>
        </is>
      </c>
      <c r="C84" s="477" t="n">
        <v>9</v>
      </c>
      <c r="D84" s="477" t="inlineStr">
        <is>
          <t>HOK</t>
        </is>
      </c>
      <c r="E84" s="183" t="n">
        <v>150000</v>
      </c>
      <c r="F84" s="401" t="n">
        <v>1350000</v>
      </c>
      <c r="G84" s="406" t="inlineStr">
        <is>
          <t>Rutin</t>
        </is>
      </c>
      <c r="H84" s="394" t="inlineStr">
        <is>
          <t>ADVANCE. Panen selektif per tangkai, 3× setahun mulai tahun ke-2</t>
        </is>
      </c>
      <c r="I84" s="171" t="n"/>
      <c r="J84" s="172" t="n"/>
    </row>
    <row r="85" ht="18" customHeight="1">
      <c r="A85" s="390" t="n">
        <v>4</v>
      </c>
      <c r="B85" s="476" t="inlineStr">
        <is>
          <t>Koordinator lahan (24 bln)</t>
        </is>
      </c>
      <c r="C85" s="477" t="n">
        <v>24</v>
      </c>
      <c r="D85" s="477" t="inlineStr">
        <is>
          <t>bln</t>
        </is>
      </c>
      <c r="E85" s="183" t="n">
        <v>500000</v>
      </c>
      <c r="F85" s="401" t="n">
        <v>12000000</v>
      </c>
      <c r="G85" s="406" t="inlineStr">
        <is>
          <t>Rutin</t>
        </is>
      </c>
      <c r="H85" s="394" t="inlineStr">
        <is>
          <t>ADVANCE. Monitoring pertumbuhan rumpun &amp; pembungaan</t>
        </is>
      </c>
      <c r="I85" s="171" t="n"/>
      <c r="J85" s="172" t="n"/>
    </row>
    <row r="86" ht="20" customHeight="1">
      <c r="A86" s="410" t="inlineStr">
        <is>
          <t xml:space="preserve">  ▶ TOTAL ADVANCE GAJI</t>
        </is>
      </c>
      <c r="B86" s="178" t="n"/>
      <c r="C86" s="178" t="n"/>
      <c r="D86" s="178" t="n"/>
      <c r="E86" s="178" t="n"/>
      <c r="F86" s="411" t="n">
        <v>115650000</v>
      </c>
      <c r="G86" s="412" t="inlineStr">
        <is>
          <t>Bonus panen tunai: Rp 50,550,000</t>
        </is>
      </c>
      <c r="H86" s="178" t="n"/>
      <c r="I86" s="178" t="n"/>
      <c r="J86" s="179" t="n"/>
    </row>
    <row r="87"/>
    <row r="88" ht="20" customHeight="1">
      <c r="A88" s="385" t="inlineStr">
        <is>
          <t xml:space="preserve">  G. PASCA PANEN, PENJUALAN &amp; DISTRIBUSI</t>
        </is>
      </c>
      <c r="B88" s="171" t="n"/>
      <c r="C88" s="171" t="n"/>
      <c r="D88" s="171" t="n"/>
      <c r="E88" s="171" t="n"/>
      <c r="F88" s="171" t="n"/>
      <c r="G88" s="171" t="n"/>
      <c r="H88" s="171" t="n"/>
      <c r="I88" s="171" t="n"/>
      <c r="J88" s="172" t="n"/>
    </row>
    <row r="89" ht="26" customHeight="1">
      <c r="A89" s="488" t="inlineStr">
        <is>
          <t>No</t>
        </is>
      </c>
      <c r="B89" s="489" t="inlineStr">
        <is>
          <t>Uraian Pekerjaan / Item</t>
        </is>
      </c>
      <c r="C89" s="490" t="inlineStr">
        <is>
          <t>Vol</t>
        </is>
      </c>
      <c r="D89" s="490" t="inlineStr">
        <is>
          <t>Sat</t>
        </is>
      </c>
      <c r="E89" s="490" t="inlineStr">
        <is>
          <t>Harga Sat</t>
        </is>
      </c>
      <c r="F89" s="490" t="inlineStr">
        <is>
          <t>Total (Rp)</t>
        </is>
      </c>
      <c r="G89" s="490" t="inlineStr">
        <is>
          <t>Fase</t>
        </is>
      </c>
      <c r="H89" s="491" t="inlineStr">
        <is>
          <t>Keterangan</t>
        </is>
      </c>
      <c r="I89" s="178" t="n"/>
      <c r="J89" s="179" t="n"/>
    </row>
    <row r="90" ht="18" customHeight="1">
      <c r="A90" s="492" t="n">
        <v>1</v>
      </c>
      <c r="B90" s="493" t="inlineStr">
        <is>
          <t>Pengeringan &amp; sortasi biji (grade A/B/C)</t>
        </is>
      </c>
      <c r="C90" s="494" t="n">
        <v>1</v>
      </c>
      <c r="D90" s="494" t="inlineStr">
        <is>
          <t>paket</t>
        </is>
      </c>
      <c r="E90" s="183" t="n">
        <v>3000000</v>
      </c>
      <c r="F90" s="184" t="n">
        <v>3000000</v>
      </c>
      <c r="G90" s="443" t="inlineStr">
        <is>
          <t>Fase 2</t>
        </is>
      </c>
      <c r="H90" s="495" t="inlineStr">
        <is>
          <t>Biji hijau utuh = grade A. 1.500kg kering dari ~4.500kg basah</t>
        </is>
      </c>
      <c r="I90" s="171" t="n"/>
      <c r="J90" s="172" t="n"/>
    </row>
    <row r="91" ht="18" customHeight="1">
      <c r="A91" s="187" t="n">
        <v>2</v>
      </c>
      <c r="B91" s="188" t="inlineStr">
        <is>
          <t>Uji aroma/volatile oil content</t>
        </is>
      </c>
      <c r="C91" s="189" t="n">
        <v>2</v>
      </c>
      <c r="D91" s="189" t="inlineStr">
        <is>
          <t>sampel</t>
        </is>
      </c>
      <c r="E91" s="183" t="n">
        <v>1500000</v>
      </c>
      <c r="F91" s="184" t="n">
        <v>3000000</v>
      </c>
      <c r="G91" s="443" t="inlineStr">
        <is>
          <t>Fase 2</t>
        </is>
      </c>
      <c r="H91" s="190" t="inlineStr">
        <is>
          <t>Cineole &gt;60% standar India &amp; Arab. Lab Sucofindo</t>
        </is>
      </c>
      <c r="I91" s="171" t="n"/>
      <c r="J91" s="172" t="n"/>
    </row>
    <row r="92" ht="18" customHeight="1">
      <c r="A92" s="492" t="n">
        <v>3</v>
      </c>
      <c r="B92" s="493" t="inlineStr">
        <is>
          <t>Packaging karung kain 25–50kg (kedap udara)</t>
        </is>
      </c>
      <c r="C92" s="494" t="n">
        <v>60</v>
      </c>
      <c r="D92" s="494" t="inlineStr">
        <is>
          <t>karung</t>
        </is>
      </c>
      <c r="E92" s="183" t="n">
        <v>8000</v>
      </c>
      <c r="F92" s="184" t="n">
        <v>480000</v>
      </c>
      <c r="G92" s="443" t="inlineStr">
        <is>
          <t>Fase 2</t>
        </is>
      </c>
      <c r="H92" s="495" t="inlineStr">
        <is>
          <t>1.500kg = 30–60 karung. Kedap udara penting jaga aroma</t>
        </is>
      </c>
      <c r="I92" s="171" t="n"/>
      <c r="J92" s="172" t="n"/>
    </row>
    <row r="93" ht="18" customHeight="1">
      <c r="A93" s="187" t="n">
        <v>4</v>
      </c>
      <c r="B93" s="188" t="inlineStr">
        <is>
          <t>Phytosanitary + dokumen ekspor</t>
        </is>
      </c>
      <c r="C93" s="189" t="n">
        <v>1</v>
      </c>
      <c r="D93" s="189" t="inlineStr">
        <is>
          <t>paket</t>
        </is>
      </c>
      <c r="E93" s="183" t="n">
        <v>2500000</v>
      </c>
      <c r="F93" s="184" t="n">
        <v>2500000</v>
      </c>
      <c r="G93" s="443" t="inlineStr">
        <is>
          <t>Fase 2</t>
        </is>
      </c>
      <c r="H93" s="190" t="inlineStr">
        <is>
          <t>Arab Saudi &amp; India ketat karantina. Bebas serangga</t>
        </is>
      </c>
      <c r="I93" s="171" t="n"/>
      <c r="J93" s="172" t="n"/>
    </row>
    <row r="94" ht="18" customHeight="1">
      <c r="A94" s="492" t="n">
        <v>5</v>
      </c>
      <c r="B94" s="493" t="inlineStr">
        <is>
          <t>Freight ke buyer (India/Arab/EU)</t>
        </is>
      </c>
      <c r="C94" s="494" t="n">
        <v>1</v>
      </c>
      <c r="D94" s="494" t="inlineStr">
        <is>
          <t>paket</t>
        </is>
      </c>
      <c r="E94" s="183" t="n">
        <v>5000000</v>
      </c>
      <c r="F94" s="184" t="n">
        <v>5000000</v>
      </c>
      <c r="G94" s="443" t="inlineStr">
        <is>
          <t>Fase 2</t>
        </is>
      </c>
      <c r="H94" s="495" t="inlineStr">
        <is>
          <t>Volume kecil tapi nilai sangat tinggi. FCL atau LCL</t>
        </is>
      </c>
      <c r="I94" s="171" t="n"/>
      <c r="J94" s="172" t="n"/>
    </row>
    <row r="95" ht="20" customHeight="1">
      <c r="A95" s="496" t="inlineStr">
        <is>
          <t xml:space="preserve">  ▶ SUBTOTAL: PASCA PANEN</t>
        </is>
      </c>
      <c r="B95" s="178" t="n"/>
      <c r="C95" s="178" t="n"/>
      <c r="D95" s="178" t="n"/>
      <c r="E95" s="178" t="n"/>
      <c r="F95" s="497" t="n">
        <v>13980000</v>
      </c>
      <c r="G95" s="498" t="n"/>
      <c r="H95" s="178" t="n"/>
      <c r="I95" s="178" t="n"/>
      <c r="J95" s="179" t="n"/>
    </row>
    <row r="96"/>
    <row r="97" ht="34" customHeight="1">
      <c r="A97" s="500" t="inlineStr">
        <is>
          <t xml:space="preserve">  🏆 GRAND TOTAL — KAPULAGA 1 HA</t>
        </is>
      </c>
      <c r="B97" s="200" t="n"/>
      <c r="C97" s="200" t="n"/>
      <c r="D97" s="200" t="n"/>
      <c r="E97" s="200" t="n"/>
      <c r="F97" s="501" t="n">
        <v>279710000</v>
      </c>
      <c r="G97" s="502" t="inlineStr">
        <is>
          <t>ROI Donatur: 14.9% | Bonus Tenaga: Rp 50,550,000</t>
        </is>
      </c>
      <c r="H97" s="200" t="n"/>
      <c r="I97" s="200" t="n"/>
      <c r="J97" s="203" t="n"/>
    </row>
    <row r="98"/>
    <row r="99">
      <c r="A99" s="416" t="inlineStr">
        <is>
          <t xml:space="preserve">  🌏 INFO EKSPOR</t>
        </is>
      </c>
      <c r="B99" s="171" t="n"/>
      <c r="C99" s="171" t="n"/>
      <c r="D99" s="171" t="n"/>
      <c r="E99" s="171" t="n"/>
      <c r="F99" s="171" t="n"/>
      <c r="G99" s="171" t="n"/>
      <c r="H99" s="171" t="n"/>
      <c r="I99" s="171" t="n"/>
      <c r="J99" s="172" t="n"/>
    </row>
    <row r="100" ht="56" customHeight="1">
      <c r="A100" s="417" t="inlineStr">
        <is>
          <t>KAPULAGA — REMPAH PREMIUM JALUR EKSPOR NILAI TERTINGGI
Harga ekspor USD 20–30/kg kering = Rp 320.000–480.000/kg. Ini rempah paling mahal kedua dunia!
1 ha kapulaga tahun ke-2: 1.500kg kering × Rp 400.000 = Rp 600 JUTA PER TAHUN!
Target buyer: India (volume terbesar), Arab Saudi (bumbu masak premium), EU/USA (health food).
⚠️ PENTING: Investasi sabar. Bulan 1–18 = perawatan tanpa panen. Mulai balik modal tahun ke-2.
Keunggulan: perennial 8–10 tahun, modal tanam sekali, revenue terus naik setiap tahun.</t>
        </is>
      </c>
      <c r="B100" s="171" t="n"/>
      <c r="C100" s="171" t="n"/>
      <c r="D100" s="171" t="n"/>
      <c r="E100" s="171" t="n"/>
      <c r="F100" s="171" t="n"/>
      <c r="G100" s="171" t="n"/>
      <c r="H100" s="171" t="n"/>
      <c r="I100" s="171" t="n"/>
      <c r="J100" s="172" t="n"/>
    </row>
  </sheetData>
  <mergeCells count="109">
    <mergeCell ref="A17:G17"/>
    <mergeCell ref="H17:J17"/>
    <mergeCell ref="H69:J69"/>
    <mergeCell ref="H11:J11"/>
    <mergeCell ref="A9:G9"/>
    <mergeCell ref="H84:J84"/>
    <mergeCell ref="H22:J22"/>
    <mergeCell ref="H75:J75"/>
    <mergeCell ref="A11:G11"/>
    <mergeCell ref="H5:J5"/>
    <mergeCell ref="H92:J92"/>
    <mergeCell ref="A66:J66"/>
    <mergeCell ref="H44:J44"/>
    <mergeCell ref="A52:E52"/>
    <mergeCell ref="H58:J58"/>
    <mergeCell ref="H40:J40"/>
    <mergeCell ref="H21:J21"/>
    <mergeCell ref="H73:J73"/>
    <mergeCell ref="A77:E77"/>
    <mergeCell ref="H51:J51"/>
    <mergeCell ref="H60:J60"/>
    <mergeCell ref="A8:G8"/>
    <mergeCell ref="G29:J29"/>
    <mergeCell ref="A4:J4"/>
    <mergeCell ref="A36:E36"/>
    <mergeCell ref="A38:J38"/>
    <mergeCell ref="H7:J7"/>
    <mergeCell ref="H16:J16"/>
    <mergeCell ref="A31:J31"/>
    <mergeCell ref="H57:J57"/>
    <mergeCell ref="H27:J27"/>
    <mergeCell ref="G77:J77"/>
    <mergeCell ref="G86:J86"/>
    <mergeCell ref="A3:E3"/>
    <mergeCell ref="H33:J33"/>
    <mergeCell ref="H42:J42"/>
    <mergeCell ref="A95:E95"/>
    <mergeCell ref="G97:J97"/>
    <mergeCell ref="H35:J35"/>
    <mergeCell ref="A97:E97"/>
    <mergeCell ref="H67:J67"/>
    <mergeCell ref="H20:J20"/>
    <mergeCell ref="A29:E29"/>
    <mergeCell ref="A12:G12"/>
    <mergeCell ref="A2:J2"/>
    <mergeCell ref="H59:J59"/>
    <mergeCell ref="A5:G5"/>
    <mergeCell ref="A14:G14"/>
    <mergeCell ref="H46:J46"/>
    <mergeCell ref="H89:J89"/>
    <mergeCell ref="H25:J25"/>
    <mergeCell ref="H61:J61"/>
    <mergeCell ref="H70:J70"/>
    <mergeCell ref="H45:J45"/>
    <mergeCell ref="H32:J32"/>
    <mergeCell ref="F3:J3"/>
    <mergeCell ref="H81:J81"/>
    <mergeCell ref="H90:J90"/>
    <mergeCell ref="H13:J13"/>
    <mergeCell ref="H47:J47"/>
    <mergeCell ref="H15:J15"/>
    <mergeCell ref="H71:J71"/>
    <mergeCell ref="H24:J24"/>
    <mergeCell ref="A79:J79"/>
    <mergeCell ref="H76:J76"/>
    <mergeCell ref="A86:E86"/>
    <mergeCell ref="A88:J88"/>
    <mergeCell ref="H8:J8"/>
    <mergeCell ref="A16:G16"/>
    <mergeCell ref="A54:J54"/>
    <mergeCell ref="H26:J26"/>
    <mergeCell ref="H82:J82"/>
    <mergeCell ref="A99:J99"/>
    <mergeCell ref="H63:J63"/>
    <mergeCell ref="H50:J50"/>
    <mergeCell ref="H55:J55"/>
    <mergeCell ref="H34:J34"/>
    <mergeCell ref="H9:J9"/>
    <mergeCell ref="H39:J39"/>
    <mergeCell ref="G95:J95"/>
    <mergeCell ref="H49:J49"/>
    <mergeCell ref="G64:J64"/>
    <mergeCell ref="H85:J85"/>
    <mergeCell ref="A64:E64"/>
    <mergeCell ref="H94:J94"/>
    <mergeCell ref="A100:J100"/>
    <mergeCell ref="A19:J19"/>
    <mergeCell ref="A13:G13"/>
    <mergeCell ref="H72:J72"/>
    <mergeCell ref="H28:J28"/>
    <mergeCell ref="G52:J52"/>
    <mergeCell ref="H12:J12"/>
    <mergeCell ref="A15:G15"/>
    <mergeCell ref="H48:J48"/>
    <mergeCell ref="G36:J36"/>
    <mergeCell ref="A1:J1"/>
    <mergeCell ref="H62:J62"/>
    <mergeCell ref="H14:J14"/>
    <mergeCell ref="H23:J23"/>
    <mergeCell ref="A7:G7"/>
    <mergeCell ref="H91:J91"/>
    <mergeCell ref="H43:J43"/>
    <mergeCell ref="A80:J80"/>
    <mergeCell ref="H41:J41"/>
    <mergeCell ref="H93:J93"/>
    <mergeCell ref="H74:J74"/>
    <mergeCell ref="H56:J56"/>
    <mergeCell ref="H68:J68"/>
    <mergeCell ref="H83:J8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503" t="inlineStr">
        <is>
          <t>🍅 PAKET INVESTASI — TOMAT CHERRY &amp; BEEF  |  3–4 Bulan (panen bertahap 8–10 kali)  |  🏪 PLAN B: LOKAL / RESTO</t>
        </is>
      </c>
    </row>
    <row r="2" ht="18" customHeight="1">
      <c r="A2" s="504" t="inlineStr">
        <is>
          <t>Hasil: 25,000 kg/ha  ·  kg/ha/musim  ·  Harga Lokal Rp 8,000  ·  Target: Resto, hotel, supermarket lokal premium, dapur yayasan</t>
        </is>
      </c>
    </row>
    <row r="3" ht="24" customHeight="1">
      <c r="A3" s="505" t="inlineStr">
        <is>
          <t xml:space="preserve">  🏪 JALUR B — LOKAL: Sayur &amp; rempah untuk resto, hotel, bar, supermarket, dan kebutuhan dapur yayasan.</t>
        </is>
      </c>
      <c r="B3" s="171" t="n"/>
      <c r="C3" s="171" t="n"/>
      <c r="D3" s="171" t="n"/>
      <c r="E3" s="171" t="n"/>
      <c r="F3" s="506" t="inlineStr">
        <is>
          <t>Subsidi operasional yayasan. Surplus dijual ke pasar lokal premium (resto/hotel).</t>
        </is>
      </c>
      <c r="G3" s="171" t="n"/>
      <c r="H3" s="171" t="n"/>
      <c r="I3" s="171" t="n"/>
      <c r="J3" s="172" t="n"/>
    </row>
    <row r="4">
      <c r="A4" s="173" t="inlineStr">
        <is>
          <t>📊 RINGKASAN INVESTASI &amp; PROYEKSI BAGI HASIL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48" t="inlineStr">
        <is>
          <t xml:space="preserve">  GRAND TOTAL INVESTASI</t>
        </is>
      </c>
      <c r="B5" s="171" t="n"/>
      <c r="C5" s="171" t="n"/>
      <c r="D5" s="171" t="n"/>
      <c r="E5" s="171" t="n"/>
      <c r="F5" s="171" t="n"/>
      <c r="G5" s="171" t="n"/>
      <c r="H5" s="449" t="n">
        <v>226975000</v>
      </c>
      <c r="I5" s="171" t="n"/>
      <c r="J5" s="172" t="n"/>
    </row>
    <row r="6"/>
    <row r="7" ht="20" customHeight="1">
      <c r="A7" s="466" t="inlineStr">
        <is>
          <t xml:space="preserve">  Est. Revenue (100% lokal / resto / hotel)</t>
        </is>
      </c>
      <c r="B7" s="171" t="n"/>
      <c r="C7" s="171" t="n"/>
      <c r="D7" s="171" t="n"/>
      <c r="E7" s="171" t="n"/>
      <c r="F7" s="171" t="n"/>
      <c r="G7" s="171" t="n"/>
      <c r="H7" s="467" t="n">
        <v>200000000</v>
      </c>
      <c r="I7" s="171" t="n"/>
      <c r="J7" s="172" t="n"/>
    </row>
    <row r="8" ht="20" customHeight="1">
      <c r="A8" s="366" t="inlineStr">
        <is>
          <t xml:space="preserve">  Potong Kebutuhan Dapur Yayasan</t>
        </is>
      </c>
      <c r="B8" s="171" t="n"/>
      <c r="C8" s="171" t="n"/>
      <c r="D8" s="171" t="n"/>
      <c r="E8" s="171" t="n"/>
      <c r="F8" s="171" t="n"/>
      <c r="G8" s="171" t="n"/>
      <c r="H8" s="367" t="inlineStr">
        <is>
          <t>(Rp 12,000,000)</t>
        </is>
      </c>
      <c r="I8" s="171" t="n"/>
      <c r="J8" s="172" t="n"/>
    </row>
    <row r="9" ht="20" customHeight="1">
      <c r="A9" s="368" t="inlineStr">
        <is>
          <t xml:space="preserve">  SISA BERSIH — Dasar Bagi Hasil</t>
        </is>
      </c>
      <c r="B9" s="171" t="n"/>
      <c r="C9" s="171" t="n"/>
      <c r="D9" s="171" t="n"/>
      <c r="E9" s="171" t="n"/>
      <c r="F9" s="171" t="n"/>
      <c r="G9" s="171" t="n"/>
      <c r="H9" s="369" t="n">
        <v>188000000</v>
      </c>
      <c r="I9" s="171" t="n"/>
      <c r="J9" s="172" t="n"/>
    </row>
    <row r="10"/>
    <row r="11" ht="20" customHeight="1">
      <c r="A11" s="370" t="inlineStr">
        <is>
          <t xml:space="preserve">  🏛️ Yayasan 40%</t>
        </is>
      </c>
      <c r="B11" s="171" t="n"/>
      <c r="C11" s="171" t="n"/>
      <c r="D11" s="171" t="n"/>
      <c r="E11" s="171" t="n"/>
      <c r="F11" s="171" t="n"/>
      <c r="G11" s="171" t="n"/>
      <c r="H11" s="371" t="n">
        <v>75200000</v>
      </c>
      <c r="I11" s="171" t="n"/>
      <c r="J11" s="172" t="n"/>
    </row>
    <row r="12" ht="20" customHeight="1">
      <c r="A12" s="372" t="inlineStr">
        <is>
          <t xml:space="preserve">  💰 Donatur 10%  →  ROI Donatur 8.3%</t>
        </is>
      </c>
      <c r="B12" s="171" t="n"/>
      <c r="C12" s="171" t="n"/>
      <c r="D12" s="171" t="n"/>
      <c r="E12" s="171" t="n"/>
      <c r="F12" s="171" t="n"/>
      <c r="G12" s="171" t="n"/>
      <c r="H12" s="373" t="n">
        <v>18800000</v>
      </c>
      <c r="I12" s="171" t="n"/>
      <c r="J12" s="172" t="n"/>
    </row>
    <row r="13" ht="20" customHeight="1">
      <c r="A13" s="366" t="inlineStr">
        <is>
          <t xml:space="preserve">  👷 Tenaga Lokal 40%</t>
        </is>
      </c>
      <c r="B13" s="171" t="n"/>
      <c r="C13" s="171" t="n"/>
      <c r="D13" s="171" t="n"/>
      <c r="E13" s="171" t="n"/>
      <c r="F13" s="171" t="n"/>
      <c r="G13" s="171" t="n"/>
      <c r="H13" s="376" t="n">
        <v>75200000</v>
      </c>
      <c r="I13" s="171" t="n"/>
      <c r="J13" s="172" t="n"/>
    </row>
    <row r="14" ht="20" customHeight="1">
      <c r="A14" s="377" t="inlineStr">
        <is>
          <t xml:space="preserve">    → Advance gaji sudah dibayar</t>
        </is>
      </c>
      <c r="B14" s="171" t="n"/>
      <c r="C14" s="171" t="n"/>
      <c r="D14" s="171" t="n"/>
      <c r="E14" s="171" t="n"/>
      <c r="F14" s="171" t="n"/>
      <c r="G14" s="171" t="n"/>
      <c r="H14" s="378" t="inlineStr">
        <is>
          <t>(Rp 61,500,000)</t>
        </is>
      </c>
      <c r="I14" s="171" t="n"/>
      <c r="J14" s="172" t="n"/>
    </row>
    <row r="15" ht="20" customHeight="1">
      <c r="A15" s="379" t="inlineStr">
        <is>
          <t xml:space="preserve">    → BONUS PANEN tunai</t>
        </is>
      </c>
      <c r="B15" s="171" t="n"/>
      <c r="C15" s="171" t="n"/>
      <c r="D15" s="171" t="n"/>
      <c r="E15" s="171" t="n"/>
      <c r="F15" s="171" t="n"/>
      <c r="G15" s="171" t="n"/>
      <c r="H15" s="380" t="n">
        <v>13700000</v>
      </c>
      <c r="I15" s="171" t="n"/>
      <c r="J15" s="172" t="n"/>
    </row>
    <row r="16" ht="20" customHeight="1">
      <c r="A16" s="381" t="inlineStr">
        <is>
          <t xml:space="preserve">  👦 Anak Binaan avg 3%</t>
        </is>
      </c>
      <c r="B16" s="171" t="n"/>
      <c r="C16" s="171" t="n"/>
      <c r="D16" s="171" t="n"/>
      <c r="E16" s="171" t="n"/>
      <c r="F16" s="171" t="n"/>
      <c r="G16" s="171" t="n"/>
      <c r="H16" s="382" t="n">
        <v>5640000</v>
      </c>
      <c r="I16" s="171" t="n"/>
      <c r="J16" s="172" t="n"/>
    </row>
    <row r="17" ht="20" customHeight="1">
      <c r="A17" s="383" t="inlineStr">
        <is>
          <t xml:space="preserve">  🎯 Fee Manajemen 10%</t>
        </is>
      </c>
      <c r="B17" s="171" t="n"/>
      <c r="C17" s="171" t="n"/>
      <c r="D17" s="171" t="n"/>
      <c r="E17" s="171" t="n"/>
      <c r="F17" s="171" t="n"/>
      <c r="G17" s="171" t="n"/>
      <c r="H17" s="384" t="n">
        <v>18800000</v>
      </c>
      <c r="I17" s="171" t="n"/>
      <c r="J17" s="172" t="n"/>
    </row>
    <row r="18"/>
    <row r="19" ht="20" customHeight="1">
      <c r="A19" s="385" t="inlineStr">
        <is>
          <t xml:space="preserve">  A. PERSIAPAN LAHAN (standar semua komoditi)</t>
        </is>
      </c>
      <c r="B19" s="171" t="n"/>
      <c r="C19" s="171" t="n"/>
      <c r="D19" s="171" t="n"/>
      <c r="E19" s="171" t="n"/>
      <c r="F19" s="171" t="n"/>
      <c r="G19" s="171" t="n"/>
      <c r="H19" s="171" t="n"/>
      <c r="I19" s="171" t="n"/>
      <c r="J19" s="172" t="n"/>
    </row>
    <row r="20" ht="26" customHeight="1">
      <c r="A20" s="450" t="inlineStr">
        <is>
          <t>No</t>
        </is>
      </c>
      <c r="B20" s="451" t="inlineStr">
        <is>
          <t>Uraian Pekerjaan / Item</t>
        </is>
      </c>
      <c r="C20" s="452" t="inlineStr">
        <is>
          <t>Vol</t>
        </is>
      </c>
      <c r="D20" s="452" t="inlineStr">
        <is>
          <t>Sat</t>
        </is>
      </c>
      <c r="E20" s="452" t="inlineStr">
        <is>
          <t>Harga Sat</t>
        </is>
      </c>
      <c r="F20" s="452" t="inlineStr">
        <is>
          <t>Total (Rp)</t>
        </is>
      </c>
      <c r="G20" s="452" t="inlineStr">
        <is>
          <t>Fase</t>
        </is>
      </c>
      <c r="H20" s="453" t="inlineStr">
        <is>
          <t>Keterangan</t>
        </is>
      </c>
      <c r="I20" s="178" t="n"/>
      <c r="J20" s="179" t="n"/>
    </row>
    <row r="21" ht="18" customHeight="1">
      <c r="A21" s="390" t="n">
        <v>1</v>
      </c>
      <c r="B21" s="391" t="inlineStr">
        <is>
          <t>Analisa tanah lab</t>
        </is>
      </c>
      <c r="C21" s="477" t="n">
        <v>1</v>
      </c>
      <c r="D21" s="477" t="inlineStr">
        <is>
          <t>paket</t>
        </is>
      </c>
      <c r="E21" s="183" t="n">
        <v>1500000</v>
      </c>
      <c r="F21" s="184" t="n">
        <v>1500000</v>
      </c>
      <c r="G21" s="393" t="inlineStr">
        <is>
          <t>Fase 0</t>
        </is>
      </c>
      <c r="H21" s="394" t="inlineStr">
        <is>
          <t>pH, NPK, tekstur</t>
        </is>
      </c>
      <c r="I21" s="171" t="n"/>
      <c r="J21" s="172" t="n"/>
    </row>
    <row r="22" ht="18" customHeight="1">
      <c r="A22" s="390" t="n">
        <v>2</v>
      </c>
      <c r="B22" s="476" t="inlineStr">
        <is>
          <t>Pembersihan lahan</t>
        </is>
      </c>
      <c r="C22" s="477" t="n">
        <v>10000</v>
      </c>
      <c r="D22" s="477" t="inlineStr">
        <is>
          <t>m²</t>
        </is>
      </c>
      <c r="E22" s="183" t="n">
        <v>500</v>
      </c>
      <c r="F22" s="401" t="n">
        <v>5000000</v>
      </c>
      <c r="G22" s="393" t="inlineStr">
        <is>
          <t>Fase 0</t>
        </is>
      </c>
      <c r="H22" s="394" t="inlineStr">
        <is>
          <t>ADVANCE</t>
        </is>
      </c>
      <c r="I22" s="171" t="n"/>
      <c r="J22" s="172" t="n"/>
    </row>
    <row r="23" ht="18" customHeight="1">
      <c r="A23" s="390" t="n">
        <v>3</v>
      </c>
      <c r="B23" s="391" t="inlineStr">
        <is>
          <t>Bajak &amp; gembur tanah</t>
        </is>
      </c>
      <c r="C23" s="477" t="n">
        <v>10000</v>
      </c>
      <c r="D23" s="477" t="inlineStr">
        <is>
          <t>m²</t>
        </is>
      </c>
      <c r="E23" s="183" t="n">
        <v>800</v>
      </c>
      <c r="F23" s="184" t="n">
        <v>8000000</v>
      </c>
      <c r="G23" s="393" t="inlineStr">
        <is>
          <t>Fase 0</t>
        </is>
      </c>
      <c r="H23" s="394" t="inlineStr">
        <is>
          <t>Mini traktor</t>
        </is>
      </c>
      <c r="I23" s="171" t="n"/>
      <c r="J23" s="172" t="n"/>
    </row>
    <row r="24" ht="18" customHeight="1">
      <c r="A24" s="187" t="n">
        <v>4</v>
      </c>
      <c r="B24" s="188" t="inlineStr">
        <is>
          <t>Dolomit / kaptan</t>
        </is>
      </c>
      <c r="C24" s="189" t="n">
        <v>2000</v>
      </c>
      <c r="D24" s="189" t="inlineStr">
        <is>
          <t>kg</t>
        </is>
      </c>
      <c r="E24" s="183" t="n">
        <v>1000</v>
      </c>
      <c r="F24" s="184" t="n">
        <v>2000000</v>
      </c>
      <c r="G24" s="393" t="inlineStr">
        <is>
          <t>Fase 0</t>
        </is>
      </c>
      <c r="H24" s="190" t="inlineStr">
        <is>
          <t>Target pH 6.0–6.5</t>
        </is>
      </c>
      <c r="I24" s="171" t="n"/>
      <c r="J24" s="172" t="n"/>
    </row>
    <row r="25" ht="18" customHeight="1">
      <c r="A25" s="390" t="n">
        <v>5</v>
      </c>
      <c r="B25" s="391" t="inlineStr">
        <is>
          <t>Bedengan + drainase</t>
        </is>
      </c>
      <c r="C25" s="477" t="n">
        <v>10000</v>
      </c>
      <c r="D25" s="477" t="inlineStr">
        <is>
          <t>m²</t>
        </is>
      </c>
      <c r="E25" s="183" t="n">
        <v>400</v>
      </c>
      <c r="F25" s="184" t="n">
        <v>4000000</v>
      </c>
      <c r="G25" s="393" t="inlineStr">
        <is>
          <t>Fase 0</t>
        </is>
      </c>
      <c r="H25" s="394" t="n"/>
      <c r="I25" s="171" t="n"/>
      <c r="J25" s="172" t="n"/>
    </row>
    <row r="26" ht="18" customHeight="1">
      <c r="A26" s="187" t="n">
        <v>6</v>
      </c>
      <c r="B26" s="188" t="inlineStr">
        <is>
          <t>Mulsa plastik HPP</t>
        </is>
      </c>
      <c r="C26" s="189" t="n">
        <v>100</v>
      </c>
      <c r="D26" s="189" t="inlineStr">
        <is>
          <t>roll</t>
        </is>
      </c>
      <c r="E26" s="183" t="n">
        <v>60000</v>
      </c>
      <c r="F26" s="184" t="n">
        <v>6000000</v>
      </c>
      <c r="G26" s="400" t="inlineStr">
        <is>
          <t>Fase 1</t>
        </is>
      </c>
      <c r="H26" s="190" t="inlineStr">
        <is>
          <t>Wajib untuk rempah &amp; cabai</t>
        </is>
      </c>
      <c r="I26" s="171" t="n"/>
      <c r="J26" s="172" t="n"/>
    </row>
    <row r="27" ht="18" customHeight="1">
      <c r="A27" s="390" t="n">
        <v>7</v>
      </c>
      <c r="B27" s="391" t="inlineStr">
        <is>
          <t>Jalan setapak sirtu</t>
        </is>
      </c>
      <c r="C27" s="477" t="n">
        <v>1</v>
      </c>
      <c r="D27" s="477" t="inlineStr">
        <is>
          <t>paket</t>
        </is>
      </c>
      <c r="E27" s="183" t="n">
        <v>3000000</v>
      </c>
      <c r="F27" s="184" t="n">
        <v>3000000</v>
      </c>
      <c r="G27" s="400" t="inlineStr">
        <is>
          <t>Fase 1</t>
        </is>
      </c>
      <c r="H27" s="394" t="n"/>
      <c r="I27" s="171" t="n"/>
      <c r="J27" s="172" t="n"/>
    </row>
    <row r="28" ht="18" customHeight="1">
      <c r="A28" s="390" t="n">
        <v>8</v>
      </c>
      <c r="B28" s="476" t="inlineStr">
        <is>
          <t>Gaji pekerja persiapan</t>
        </is>
      </c>
      <c r="C28" s="477" t="n">
        <v>15</v>
      </c>
      <c r="D28" s="477" t="inlineStr">
        <is>
          <t>HOK</t>
        </is>
      </c>
      <c r="E28" s="183" t="n">
        <v>150000</v>
      </c>
      <c r="F28" s="401" t="n">
        <v>2250000</v>
      </c>
      <c r="G28" s="393" t="inlineStr">
        <is>
          <t>Fase 0</t>
        </is>
      </c>
      <c r="H28" s="394" t="inlineStr">
        <is>
          <t>ADVANCE — dicatat per nama</t>
        </is>
      </c>
      <c r="I28" s="171" t="n"/>
      <c r="J28" s="172" t="n"/>
    </row>
    <row r="29" ht="20" customHeight="1">
      <c r="A29" s="507" t="inlineStr">
        <is>
          <t xml:space="preserve">  ▶ SUBTOTAL: PERSIAPAN LAHAN</t>
        </is>
      </c>
      <c r="B29" s="178" t="n"/>
      <c r="C29" s="178" t="n"/>
      <c r="D29" s="178" t="n"/>
      <c r="E29" s="178" t="n"/>
      <c r="F29" s="508" t="n">
        <v>31750000</v>
      </c>
      <c r="G29" s="509" t="n"/>
      <c r="H29" s="178" t="n"/>
      <c r="I29" s="178" t="n"/>
      <c r="J29" s="179" t="n"/>
    </row>
    <row r="30"/>
    <row r="31" ht="20" customHeight="1">
      <c r="A31" s="385" t="inlineStr">
        <is>
          <t xml:space="preserve">  B. PEMBIBITAN — Tomat Cherry &amp; Beef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2" t="n"/>
    </row>
    <row r="32" ht="26" customHeight="1">
      <c r="A32" s="450" t="inlineStr">
        <is>
          <t>No</t>
        </is>
      </c>
      <c r="B32" s="451" t="inlineStr">
        <is>
          <t>Uraian Pekerjaan / Item</t>
        </is>
      </c>
      <c r="C32" s="452" t="inlineStr">
        <is>
          <t>Vol</t>
        </is>
      </c>
      <c r="D32" s="452" t="inlineStr">
        <is>
          <t>Sat</t>
        </is>
      </c>
      <c r="E32" s="452" t="inlineStr">
        <is>
          <t>Harga Sat</t>
        </is>
      </c>
      <c r="F32" s="452" t="inlineStr">
        <is>
          <t>Total (Rp)</t>
        </is>
      </c>
      <c r="G32" s="452" t="inlineStr">
        <is>
          <t>Fase</t>
        </is>
      </c>
      <c r="H32" s="453" t="inlineStr">
        <is>
          <t>Keterangan</t>
        </is>
      </c>
      <c r="I32" s="178" t="n"/>
      <c r="J32" s="179" t="n"/>
    </row>
    <row r="33" ht="18" customHeight="1">
      <c r="A33" s="390" t="n">
        <v>1</v>
      </c>
      <c r="B33" s="405" t="inlineStr">
        <is>
          <t>Benih tomat F1 (cherry + beef mix)</t>
        </is>
      </c>
      <c r="C33" s="477" t="n">
        <v>3</v>
      </c>
      <c r="D33" s="477" t="inlineStr">
        <is>
          <t>pak 5g</t>
        </is>
      </c>
      <c r="E33" s="183" t="n">
        <v>150000</v>
      </c>
      <c r="F33" s="184" t="n">
        <v>450000</v>
      </c>
      <c r="G33" s="400" t="inlineStr">
        <is>
          <t>Fase 1</t>
        </is>
      </c>
      <c r="H33" s="394" t="inlineStr">
        <is>
          <t>Cherry untuk plating resto, beef untuk masak/jus. F1 lebih tahan penyakit</t>
        </is>
      </c>
      <c r="I33" s="171" t="n"/>
      <c r="J33" s="172" t="n"/>
    </row>
    <row r="34" ht="18" customHeight="1">
      <c r="A34" s="187" t="n">
        <v>2</v>
      </c>
      <c r="B34" s="188" t="inlineStr">
        <is>
          <t>Tray semai 128 cell + media semai</t>
        </is>
      </c>
      <c r="C34" s="189" t="n">
        <v>50</v>
      </c>
      <c r="D34" s="189" t="inlineStr">
        <is>
          <t>tray</t>
        </is>
      </c>
      <c r="E34" s="183" t="n">
        <v>15000</v>
      </c>
      <c r="F34" s="184" t="n">
        <v>750000</v>
      </c>
      <c r="G34" s="400" t="inlineStr">
        <is>
          <t>Fase 1</t>
        </is>
      </c>
      <c r="H34" s="190" t="inlineStr">
        <is>
          <t>Semai 25–30 hari. Media: cocopeat + vermikompos</t>
        </is>
      </c>
      <c r="I34" s="171" t="n"/>
      <c r="J34" s="172" t="n"/>
    </row>
    <row r="35" ht="18" customHeight="1">
      <c r="A35" s="390" t="n">
        <v>3</v>
      </c>
      <c r="B35" s="405" t="inlineStr">
        <is>
          <t>Tiang ajir besi/bambu 150cm per tanaman</t>
        </is>
      </c>
      <c r="C35" s="477" t="n">
        <v>20000</v>
      </c>
      <c r="D35" s="477" t="inlineStr">
        <is>
          <t>btg</t>
        </is>
      </c>
      <c r="E35" s="183" t="n">
        <v>2000</v>
      </c>
      <c r="F35" s="184" t="n">
        <v>40000000</v>
      </c>
      <c r="G35" s="400" t="inlineStr">
        <is>
          <t>Fase 1</t>
        </is>
      </c>
      <c r="H35" s="394" t="inlineStr">
        <is>
          <t>Wajib! Tomat sangat butuh ajir. Besi lebih awet dari bambu</t>
        </is>
      </c>
      <c r="I35" s="171" t="n"/>
      <c r="J35" s="172" t="n"/>
    </row>
    <row r="36" ht="18" customHeight="1">
      <c r="A36" s="187" t="n">
        <v>4</v>
      </c>
      <c r="B36" s="188" t="inlineStr">
        <is>
          <t>Tali tomato clip / rafia untuk ikat tanaman</t>
        </is>
      </c>
      <c r="C36" s="189" t="n">
        <v>50</v>
      </c>
      <c r="D36" s="189" t="inlineStr">
        <is>
          <t>roll</t>
        </is>
      </c>
      <c r="E36" s="183" t="n">
        <v>15000</v>
      </c>
      <c r="F36" s="184" t="n">
        <v>750000</v>
      </c>
      <c r="G36" s="400" t="inlineStr">
        <is>
          <t>Fase 1</t>
        </is>
      </c>
      <c r="H36" s="190" t="inlineStr">
        <is>
          <t>Ikat setiap 20cm seiring tanaman tumbuh</t>
        </is>
      </c>
      <c r="I36" s="171" t="n"/>
      <c r="J36" s="172" t="n"/>
    </row>
    <row r="37" ht="18" customHeight="1">
      <c r="A37" s="390" t="n">
        <v>5</v>
      </c>
      <c r="B37" s="405" t="inlineStr">
        <is>
          <t>Plastik greenhouse mini (tunnel plastic)</t>
        </is>
      </c>
      <c r="C37" s="477" t="n">
        <v>2000</v>
      </c>
      <c r="D37" s="477" t="inlineStr">
        <is>
          <t>m²</t>
        </is>
      </c>
      <c r="E37" s="183" t="n">
        <v>15000</v>
      </c>
      <c r="F37" s="184" t="n">
        <v>30000000</v>
      </c>
      <c r="G37" s="400" t="inlineStr">
        <is>
          <t>Fase 1</t>
        </is>
      </c>
      <c r="H37" s="394" t="inlineStr">
        <is>
          <t>Lindungi dari hujan. Tomat sangat sensitif hujan deras → busuk buah</t>
        </is>
      </c>
      <c r="I37" s="171" t="n"/>
      <c r="J37" s="172" t="n"/>
    </row>
    <row r="38" ht="20" customHeight="1">
      <c r="A38" s="507" t="inlineStr">
        <is>
          <t xml:space="preserve">  ▶ SUBTOTAL: BIBIT</t>
        </is>
      </c>
      <c r="B38" s="178" t="n"/>
      <c r="C38" s="178" t="n"/>
      <c r="D38" s="178" t="n"/>
      <c r="E38" s="178" t="n"/>
      <c r="F38" s="508" t="n">
        <v>71950000</v>
      </c>
      <c r="G38" s="509" t="n"/>
      <c r="H38" s="178" t="n"/>
      <c r="I38" s="178" t="n"/>
      <c r="J38" s="179" t="n"/>
    </row>
    <row r="39"/>
    <row r="40" ht="20" customHeight="1">
      <c r="A40" s="385" t="inlineStr">
        <is>
          <t xml:space="preserve">  C. IRIGASI &amp; PIPA (dari titik keran yayasan)</t>
        </is>
      </c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2" t="n"/>
    </row>
    <row r="41" ht="26" customHeight="1">
      <c r="A41" s="450" t="inlineStr">
        <is>
          <t>No</t>
        </is>
      </c>
      <c r="B41" s="451" t="inlineStr">
        <is>
          <t>Uraian Pekerjaan / Item</t>
        </is>
      </c>
      <c r="C41" s="452" t="inlineStr">
        <is>
          <t>Vol</t>
        </is>
      </c>
      <c r="D41" s="452" t="inlineStr">
        <is>
          <t>Sat</t>
        </is>
      </c>
      <c r="E41" s="452" t="inlineStr">
        <is>
          <t>Harga Sat</t>
        </is>
      </c>
      <c r="F41" s="452" t="inlineStr">
        <is>
          <t>Total (Rp)</t>
        </is>
      </c>
      <c r="G41" s="452" t="inlineStr">
        <is>
          <t>Fase</t>
        </is>
      </c>
      <c r="H41" s="453" t="inlineStr">
        <is>
          <t>Keterangan</t>
        </is>
      </c>
      <c r="I41" s="178" t="n"/>
      <c r="J41" s="179" t="n"/>
    </row>
    <row r="42" ht="18" customHeight="1">
      <c r="A42" s="390" t="n">
        <v>1</v>
      </c>
      <c r="B42" s="391" t="inlineStr">
        <is>
          <t>Tandon air 1.000L (2 unit)</t>
        </is>
      </c>
      <c r="C42" s="477" t="n">
        <v>2</v>
      </c>
      <c r="D42" s="477" t="inlineStr">
        <is>
          <t>unit</t>
        </is>
      </c>
      <c r="E42" s="183" t="n">
        <v>800000</v>
      </c>
      <c r="F42" s="184" t="n">
        <v>1600000</v>
      </c>
      <c r="G42" s="400" t="inlineStr">
        <is>
          <t>Fase 1</t>
        </is>
      </c>
      <c r="H42" s="394" t="inlineStr">
        <is>
          <t>Dari titik keran yayasan</t>
        </is>
      </c>
      <c r="I42" s="171" t="n"/>
      <c r="J42" s="172" t="n"/>
    </row>
    <row r="43" ht="18" customHeight="1">
      <c r="A43" s="187" t="n">
        <v>2</v>
      </c>
      <c r="B43" s="188" t="inlineStr">
        <is>
          <t>Pipa PVC 1,5" utama</t>
        </is>
      </c>
      <c r="C43" s="189" t="n">
        <v>6</v>
      </c>
      <c r="D43" s="189" t="inlineStr">
        <is>
          <t>btg 4m</t>
        </is>
      </c>
      <c r="E43" s="183" t="n">
        <v>45000</v>
      </c>
      <c r="F43" s="184" t="n">
        <v>270000</v>
      </c>
      <c r="G43" s="400" t="inlineStr">
        <is>
          <t>Fase 1</t>
        </is>
      </c>
      <c r="H43" s="190" t="inlineStr">
        <is>
          <t>Tandon → manifold</t>
        </is>
      </c>
      <c r="I43" s="171" t="n"/>
      <c r="J43" s="172" t="n"/>
    </row>
    <row r="44" ht="18" customHeight="1">
      <c r="A44" s="390" t="n">
        <v>3</v>
      </c>
      <c r="B44" s="391" t="inlineStr">
        <is>
          <t>Manifold PVC 1" (4 zona)</t>
        </is>
      </c>
      <c r="C44" s="477" t="n">
        <v>4</v>
      </c>
      <c r="D44" s="477" t="inlineStr">
        <is>
          <t>unit</t>
        </is>
      </c>
      <c r="E44" s="183" t="n">
        <v>50000</v>
      </c>
      <c r="F44" s="184" t="n">
        <v>200000</v>
      </c>
      <c r="G44" s="400" t="inlineStr">
        <is>
          <t>Fase 1</t>
        </is>
      </c>
      <c r="H44" s="394" t="inlineStr">
        <is>
          <t>Tekanan merata per zona</t>
        </is>
      </c>
      <c r="I44" s="171" t="n"/>
      <c r="J44" s="172" t="n"/>
    </row>
    <row r="45" ht="18" customHeight="1">
      <c r="A45" s="187" t="n">
        <v>4</v>
      </c>
      <c r="B45" s="188" t="inlineStr">
        <is>
          <t>Pipa lateral PVC 3/4"</t>
        </is>
      </c>
      <c r="C45" s="189" t="n">
        <v>25</v>
      </c>
      <c r="D45" s="189" t="inlineStr">
        <is>
          <t>btg 4m</t>
        </is>
      </c>
      <c r="E45" s="183" t="n">
        <v>25000</v>
      </c>
      <c r="F45" s="184" t="n">
        <v>625000</v>
      </c>
      <c r="G45" s="400" t="inlineStr">
        <is>
          <t>Fase 1</t>
        </is>
      </c>
      <c r="H45" s="190" t="inlineStr">
        <is>
          <t>Ke blok bedeng</t>
        </is>
      </c>
      <c r="I45" s="171" t="n"/>
      <c r="J45" s="172" t="n"/>
    </row>
    <row r="46" ht="18" customHeight="1">
      <c r="A46" s="390" t="n">
        <v>5</v>
      </c>
      <c r="B46" s="391" t="inlineStr">
        <is>
          <t>Selang PE 1/2" drip line</t>
        </is>
      </c>
      <c r="C46" s="477" t="n">
        <v>300</v>
      </c>
      <c r="D46" s="477" t="inlineStr">
        <is>
          <t>m</t>
        </is>
      </c>
      <c r="E46" s="183" t="n">
        <v>5000</v>
      </c>
      <c r="F46" s="184" t="n">
        <v>1500000</v>
      </c>
      <c r="G46" s="400" t="inlineStr">
        <is>
          <t>Fase 1</t>
        </is>
      </c>
      <c r="H46" s="394" t="inlineStr">
        <is>
          <t>Per baris tanaman</t>
        </is>
      </c>
      <c r="I46" s="171" t="n"/>
      <c r="J46" s="172" t="n"/>
    </row>
    <row r="47" ht="18" customHeight="1">
      <c r="A47" s="187" t="n">
        <v>6</v>
      </c>
      <c r="B47" s="188" t="inlineStr">
        <is>
          <t>Emitter drip 2L/jam (20,000 pcs)</t>
        </is>
      </c>
      <c r="C47" s="189" t="n">
        <v>20000</v>
      </c>
      <c r="D47" s="189" t="inlineStr">
        <is>
          <t>pcs</t>
        </is>
      </c>
      <c r="E47" s="183" t="n">
        <v>600</v>
      </c>
      <c r="F47" s="184" t="n">
        <v>12000000</v>
      </c>
      <c r="G47" s="400" t="inlineStr">
        <is>
          <t>Fase 1</t>
        </is>
      </c>
      <c r="H47" s="190" t="inlineStr">
        <is>
          <t>1 per tanaman</t>
        </is>
      </c>
      <c r="I47" s="171" t="n"/>
      <c r="J47" s="172" t="n"/>
    </row>
    <row r="48" ht="18" customHeight="1">
      <c r="A48" s="390" t="n">
        <v>7</v>
      </c>
      <c r="B48" s="391" t="inlineStr">
        <is>
          <t>Ball valve 3/4" per zona</t>
        </is>
      </c>
      <c r="C48" s="477" t="n">
        <v>8</v>
      </c>
      <c r="D48" s="477" t="inlineStr">
        <is>
          <t>pcs</t>
        </is>
      </c>
      <c r="E48" s="183" t="n">
        <v>25000</v>
      </c>
      <c r="F48" s="184" t="n">
        <v>200000</v>
      </c>
      <c r="G48" s="400" t="inlineStr">
        <is>
          <t>Fase 1</t>
        </is>
      </c>
      <c r="H48" s="394" t="n"/>
      <c r="I48" s="171" t="n"/>
      <c r="J48" s="172" t="n"/>
    </row>
    <row r="49" ht="18" customHeight="1">
      <c r="A49" s="187" t="n">
        <v>8</v>
      </c>
      <c r="B49" s="188" t="inlineStr">
        <is>
          <t>Filter sedimen</t>
        </is>
      </c>
      <c r="C49" s="189" t="n">
        <v>2</v>
      </c>
      <c r="D49" s="189" t="inlineStr">
        <is>
          <t>unit</t>
        </is>
      </c>
      <c r="E49" s="183" t="n">
        <v>150000</v>
      </c>
      <c r="F49" s="184" t="n">
        <v>300000</v>
      </c>
      <c r="G49" s="400" t="inlineStr">
        <is>
          <t>Fase 1</t>
        </is>
      </c>
      <c r="H49" s="190" t="inlineStr">
        <is>
          <t>Cegah buntu</t>
        </is>
      </c>
      <c r="I49" s="171" t="n"/>
      <c r="J49" s="172" t="n"/>
    </row>
    <row r="50" ht="18" customHeight="1">
      <c r="A50" s="390" t="n">
        <v>9</v>
      </c>
      <c r="B50" s="391" t="inlineStr">
        <is>
          <t>Fitting (elbow, T, keni, lem)</t>
        </is>
      </c>
      <c r="C50" s="477" t="n">
        <v>1</v>
      </c>
      <c r="D50" s="477" t="inlineStr">
        <is>
          <t>paket</t>
        </is>
      </c>
      <c r="E50" s="183" t="n">
        <v>350000</v>
      </c>
      <c r="F50" s="184" t="n">
        <v>350000</v>
      </c>
      <c r="G50" s="400" t="inlineStr">
        <is>
          <t>Fase 1</t>
        </is>
      </c>
      <c r="H50" s="394" t="n"/>
      <c r="I50" s="171" t="n"/>
      <c r="J50" s="172" t="n"/>
    </row>
    <row r="51" ht="18" customHeight="1">
      <c r="A51" s="187" t="n">
        <v>10</v>
      </c>
      <c r="B51" s="188" t="inlineStr">
        <is>
          <t>Selang siram manual backup</t>
        </is>
      </c>
      <c r="C51" s="189" t="n">
        <v>2</v>
      </c>
      <c r="D51" s="189" t="inlineStr">
        <is>
          <t>gulung</t>
        </is>
      </c>
      <c r="E51" s="183" t="n">
        <v>200000</v>
      </c>
      <c r="F51" s="184" t="n">
        <v>400000</v>
      </c>
      <c r="G51" s="400" t="inlineStr">
        <is>
          <t>Fase 1</t>
        </is>
      </c>
      <c r="H51" s="190" t="n"/>
      <c r="I51" s="171" t="n"/>
      <c r="J51" s="172" t="n"/>
    </row>
    <row r="52" ht="18" customHeight="1">
      <c r="A52" s="390" t="n">
        <v>11</v>
      </c>
      <c r="B52" s="391" t="inlineStr">
        <is>
          <t>Pompa celup 125W (jika diperlukan)</t>
        </is>
      </c>
      <c r="C52" s="477" t="n">
        <v>1</v>
      </c>
      <c r="D52" s="477" t="inlineStr">
        <is>
          <t>unit</t>
        </is>
      </c>
      <c r="E52" s="183" t="n">
        <v>800000</v>
      </c>
      <c r="F52" s="184" t="n">
        <v>800000</v>
      </c>
      <c r="G52" s="400" t="inlineStr">
        <is>
          <t>Fase 1</t>
        </is>
      </c>
      <c r="H52" s="394" t="inlineStr">
        <is>
          <t>Cek elevasi dulu</t>
        </is>
      </c>
      <c r="I52" s="171" t="n"/>
      <c r="J52" s="172" t="n"/>
    </row>
    <row r="53" ht="18" customHeight="1">
      <c r="A53" s="187" t="n">
        <v>12</v>
      </c>
      <c r="B53" s="188" t="inlineStr">
        <is>
          <t>Fertigasi drip (pupuk cair via drip)</t>
        </is>
      </c>
      <c r="C53" s="189" t="n">
        <v>1</v>
      </c>
      <c r="D53" s="189" t="inlineStr">
        <is>
          <t>paket</t>
        </is>
      </c>
      <c r="E53" s="183" t="n">
        <v>2000000</v>
      </c>
      <c r="F53" s="184" t="n">
        <v>2000000</v>
      </c>
      <c r="G53" s="400" t="inlineStr">
        <is>
          <t>Fase 1</t>
        </is>
      </c>
      <c r="H53" s="190" t="inlineStr">
        <is>
          <t>Tomat sangat responsif fertigasi. Hasil meningkat 30–40%</t>
        </is>
      </c>
      <c r="I53" s="171" t="n"/>
      <c r="J53" s="172" t="n"/>
    </row>
    <row r="54" ht="20" customHeight="1">
      <c r="A54" s="507" t="inlineStr">
        <is>
          <t xml:space="preserve">  ▶ SUBTOTAL: IRIGASI</t>
        </is>
      </c>
      <c r="B54" s="178" t="n"/>
      <c r="C54" s="178" t="n"/>
      <c r="D54" s="178" t="n"/>
      <c r="E54" s="178" t="n"/>
      <c r="F54" s="508" t="n">
        <v>20245000</v>
      </c>
      <c r="G54" s="509" t="n"/>
      <c r="H54" s="178" t="n"/>
      <c r="I54" s="178" t="n"/>
      <c r="J54" s="179" t="n"/>
    </row>
    <row r="55"/>
    <row r="56" ht="20" customHeight="1">
      <c r="A56" s="385" t="inlineStr">
        <is>
          <t xml:space="preserve">  D. PUPUK &amp; NUTRISI</t>
        </is>
      </c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2" t="n"/>
    </row>
    <row r="57" ht="26" customHeight="1">
      <c r="A57" s="450" t="inlineStr">
        <is>
          <t>No</t>
        </is>
      </c>
      <c r="B57" s="451" t="inlineStr">
        <is>
          <t>Uraian Pekerjaan / Item</t>
        </is>
      </c>
      <c r="C57" s="452" t="inlineStr">
        <is>
          <t>Vol</t>
        </is>
      </c>
      <c r="D57" s="452" t="inlineStr">
        <is>
          <t>Sat</t>
        </is>
      </c>
      <c r="E57" s="452" t="inlineStr">
        <is>
          <t>Harga Sat</t>
        </is>
      </c>
      <c r="F57" s="452" t="inlineStr">
        <is>
          <t>Total (Rp)</t>
        </is>
      </c>
      <c r="G57" s="452" t="inlineStr">
        <is>
          <t>Fase</t>
        </is>
      </c>
      <c r="H57" s="453" t="inlineStr">
        <is>
          <t>Keterangan</t>
        </is>
      </c>
      <c r="I57" s="178" t="n"/>
      <c r="J57" s="179" t="n"/>
    </row>
    <row r="58" ht="18" customHeight="1">
      <c r="A58" s="390" t="n">
        <v>1</v>
      </c>
      <c r="B58" s="391" t="inlineStr">
        <is>
          <t>Pupuk kandang matang 20 ton/ha</t>
        </is>
      </c>
      <c r="C58" s="477" t="n">
        <v>20000</v>
      </c>
      <c r="D58" s="477" t="inlineStr">
        <is>
          <t>kg</t>
        </is>
      </c>
      <c r="E58" s="183" t="n">
        <v>300</v>
      </c>
      <c r="F58" s="184" t="n">
        <v>6000000</v>
      </c>
      <c r="G58" s="393" t="inlineStr">
        <is>
          <t>Fase 0</t>
        </is>
      </c>
      <c r="H58" s="394" t="inlineStr">
        <is>
          <t>2 mgg sebelum tanam</t>
        </is>
      </c>
      <c r="I58" s="171" t="n"/>
      <c r="J58" s="172" t="n"/>
    </row>
    <row r="59" ht="18" customHeight="1">
      <c r="A59" s="187" t="n">
        <v>2</v>
      </c>
      <c r="B59" s="188" t="inlineStr">
        <is>
          <t>NPK 16-16-16</t>
        </is>
      </c>
      <c r="C59" s="189" t="n">
        <v>500</v>
      </c>
      <c r="D59" s="189" t="inlineStr">
        <is>
          <t>kg</t>
        </is>
      </c>
      <c r="E59" s="183" t="n">
        <v>8500</v>
      </c>
      <c r="F59" s="184" t="n">
        <v>4250000</v>
      </c>
      <c r="G59" s="400" t="inlineStr">
        <is>
          <t>Fase 1</t>
        </is>
      </c>
      <c r="H59" s="190" t="inlineStr">
        <is>
          <t>50% dasar, 50% susulan</t>
        </is>
      </c>
      <c r="I59" s="171" t="n"/>
      <c r="J59" s="172" t="n"/>
    </row>
    <row r="60" ht="18" customHeight="1">
      <c r="A60" s="390" t="n">
        <v>3</v>
      </c>
      <c r="B60" s="391" t="inlineStr">
        <is>
          <t>SP-36 fosfor akar</t>
        </is>
      </c>
      <c r="C60" s="477" t="n">
        <v>150</v>
      </c>
      <c r="D60" s="477" t="inlineStr">
        <is>
          <t>kg</t>
        </is>
      </c>
      <c r="E60" s="183" t="n">
        <v>5500</v>
      </c>
      <c r="F60" s="184" t="n">
        <v>825000</v>
      </c>
      <c r="G60" s="393" t="inlineStr">
        <is>
          <t>Fase 0</t>
        </is>
      </c>
      <c r="H60" s="394" t="n"/>
      <c r="I60" s="171" t="n"/>
      <c r="J60" s="172" t="n"/>
    </row>
    <row r="61" ht="18" customHeight="1">
      <c r="A61" s="187" t="n">
        <v>4</v>
      </c>
      <c r="B61" s="188" t="inlineStr">
        <is>
          <t>Pupuk organik cair MOL</t>
        </is>
      </c>
      <c r="C61" s="189" t="n">
        <v>8</v>
      </c>
      <c r="D61" s="189" t="inlineStr">
        <is>
          <t>bln</t>
        </is>
      </c>
      <c r="E61" s="183" t="n">
        <v>300000</v>
      </c>
      <c r="F61" s="184" t="n">
        <v>2400000</v>
      </c>
      <c r="G61" s="406" t="inlineStr">
        <is>
          <t>Rutin</t>
        </is>
      </c>
      <c r="H61" s="190" t="inlineStr">
        <is>
          <t>2× sebulan</t>
        </is>
      </c>
      <c r="I61" s="171" t="n"/>
      <c r="J61" s="172" t="n"/>
    </row>
    <row r="62" ht="18" customHeight="1">
      <c r="A62" s="390" t="n">
        <v>5</v>
      </c>
      <c r="B62" s="391" t="inlineStr">
        <is>
          <t>Trichoderma sp. (biofungisida)</t>
        </is>
      </c>
      <c r="C62" s="477" t="n">
        <v>5</v>
      </c>
      <c r="D62" s="477" t="inlineStr">
        <is>
          <t>kg</t>
        </is>
      </c>
      <c r="E62" s="183" t="n">
        <v>80000</v>
      </c>
      <c r="F62" s="184" t="n">
        <v>400000</v>
      </c>
      <c r="G62" s="400" t="inlineStr">
        <is>
          <t>Fase 1</t>
        </is>
      </c>
      <c r="H62" s="394" t="n"/>
      <c r="I62" s="171" t="n"/>
      <c r="J62" s="172" t="n"/>
    </row>
    <row r="63" ht="18" customHeight="1">
      <c r="A63" s="187" t="n">
        <v>6</v>
      </c>
      <c r="B63" s="188" t="inlineStr">
        <is>
          <t>KNO3 merah (fase generatif buah)</t>
        </is>
      </c>
      <c r="C63" s="189" t="n">
        <v>300</v>
      </c>
      <c r="D63" s="189" t="inlineStr">
        <is>
          <t>kg</t>
        </is>
      </c>
      <c r="E63" s="183" t="n">
        <v>25000</v>
      </c>
      <c r="F63" s="184" t="n">
        <v>7500000</v>
      </c>
      <c r="G63" s="406" t="inlineStr">
        <is>
          <t>Rutin</t>
        </is>
      </c>
      <c r="H63" s="190" t="inlineStr">
        <is>
          <t>Merah, besar, manis. KNO3 kritis di fase pembentukan buah</t>
        </is>
      </c>
      <c r="I63" s="171" t="n"/>
      <c r="J63" s="172" t="n"/>
    </row>
    <row r="64" ht="18" customHeight="1">
      <c r="A64" s="390" t="n">
        <v>7</v>
      </c>
      <c r="B64" s="391" t="inlineStr">
        <is>
          <t>Ca(NO3)2 kalsium cegah BER</t>
        </is>
      </c>
      <c r="C64" s="477" t="n">
        <v>150</v>
      </c>
      <c r="D64" s="477" t="inlineStr">
        <is>
          <t>kg</t>
        </is>
      </c>
      <c r="E64" s="183" t="n">
        <v>12000</v>
      </c>
      <c r="F64" s="184" t="n">
        <v>1800000</v>
      </c>
      <c r="G64" s="406" t="inlineStr">
        <is>
          <t>Rutin</t>
        </is>
      </c>
      <c r="H64" s="394" t="inlineStr">
        <is>
          <t>Busuk ujung buah = masalah utama tomat. Ca wajib!</t>
        </is>
      </c>
      <c r="I64" s="171" t="n"/>
      <c r="J64" s="172" t="n"/>
    </row>
    <row r="65" ht="18" customHeight="1">
      <c r="A65" s="187" t="n">
        <v>8</v>
      </c>
      <c r="B65" s="188" t="inlineStr">
        <is>
          <t>Mankozeb + Ridomil (late blight)</t>
        </is>
      </c>
      <c r="C65" s="189" t="n">
        <v>5</v>
      </c>
      <c r="D65" s="189" t="inlineStr">
        <is>
          <t>kg</t>
        </is>
      </c>
      <c r="E65" s="183" t="n">
        <v>80000</v>
      </c>
      <c r="F65" s="184" t="n">
        <v>400000</v>
      </c>
      <c r="G65" s="406" t="inlineStr">
        <is>
          <t>Rutin</t>
        </is>
      </c>
      <c r="H65" s="190" t="inlineStr">
        <is>
          <t>Phytophthora infestans bisa hancurkan 100% panen dalam 2 minggu</t>
        </is>
      </c>
      <c r="I65" s="171" t="n"/>
      <c r="J65" s="172" t="n"/>
    </row>
    <row r="66" ht="20" customHeight="1">
      <c r="A66" s="507" t="inlineStr">
        <is>
          <t xml:space="preserve">  ▶ SUBTOTAL: PUPUK</t>
        </is>
      </c>
      <c r="B66" s="178" t="n"/>
      <c r="C66" s="178" t="n"/>
      <c r="D66" s="178" t="n"/>
      <c r="E66" s="178" t="n"/>
      <c r="F66" s="508" t="n">
        <v>23575000</v>
      </c>
      <c r="G66" s="509" t="n"/>
      <c r="H66" s="178" t="n"/>
      <c r="I66" s="178" t="n"/>
      <c r="J66" s="179" t="n"/>
    </row>
    <row r="67"/>
    <row r="68" ht="20" customHeight="1">
      <c r="A68" s="385" t="inlineStr">
        <is>
          <t xml:space="preserve">  E. ALAT &amp; PERLENGKAPAN</t>
        </is>
      </c>
      <c r="B68" s="171" t="n"/>
      <c r="C68" s="171" t="n"/>
      <c r="D68" s="171" t="n"/>
      <c r="E68" s="171" t="n"/>
      <c r="F68" s="171" t="n"/>
      <c r="G68" s="171" t="n"/>
      <c r="H68" s="171" t="n"/>
      <c r="I68" s="171" t="n"/>
      <c r="J68" s="172" t="n"/>
    </row>
    <row r="69" ht="26" customHeight="1">
      <c r="A69" s="450" t="inlineStr">
        <is>
          <t>No</t>
        </is>
      </c>
      <c r="B69" s="451" t="inlineStr">
        <is>
          <t>Uraian Pekerjaan / Item</t>
        </is>
      </c>
      <c r="C69" s="452" t="inlineStr">
        <is>
          <t>Vol</t>
        </is>
      </c>
      <c r="D69" s="452" t="inlineStr">
        <is>
          <t>Sat</t>
        </is>
      </c>
      <c r="E69" s="452" t="inlineStr">
        <is>
          <t>Harga Sat</t>
        </is>
      </c>
      <c r="F69" s="452" t="inlineStr">
        <is>
          <t>Total (Rp)</t>
        </is>
      </c>
      <c r="G69" s="452" t="inlineStr">
        <is>
          <t>Fase</t>
        </is>
      </c>
      <c r="H69" s="453" t="inlineStr">
        <is>
          <t>Keterangan</t>
        </is>
      </c>
      <c r="I69" s="178" t="n"/>
      <c r="J69" s="179" t="n"/>
    </row>
    <row r="70" ht="18" customHeight="1">
      <c r="A70" s="390" t="n">
        <v>1</v>
      </c>
      <c r="B70" s="391" t="inlineStr">
        <is>
          <t>Cangkul, sekop, garpu (4 set)</t>
        </is>
      </c>
      <c r="C70" s="477" t="n">
        <v>4</v>
      </c>
      <c r="D70" s="477" t="inlineStr">
        <is>
          <t>set</t>
        </is>
      </c>
      <c r="E70" s="183" t="n">
        <v>120000</v>
      </c>
      <c r="F70" s="184" t="n">
        <v>480000</v>
      </c>
      <c r="G70" s="393" t="inlineStr">
        <is>
          <t>Fase 0</t>
        </is>
      </c>
      <c r="H70" s="394" t="n"/>
      <c r="I70" s="171" t="n"/>
      <c r="J70" s="172" t="n"/>
    </row>
    <row r="71" ht="18" customHeight="1">
      <c r="A71" s="187" t="n">
        <v>2</v>
      </c>
      <c r="B71" s="188" t="inlineStr">
        <is>
          <t>Knapsack sprayer 16L (2 unit)</t>
        </is>
      </c>
      <c r="C71" s="189" t="n">
        <v>2</v>
      </c>
      <c r="D71" s="189" t="inlineStr">
        <is>
          <t>unit</t>
        </is>
      </c>
      <c r="E71" s="183" t="n">
        <v>350000</v>
      </c>
      <c r="F71" s="184" t="n">
        <v>700000</v>
      </c>
      <c r="G71" s="400" t="inlineStr">
        <is>
          <t>Fase 1</t>
        </is>
      </c>
      <c r="H71" s="190" t="inlineStr">
        <is>
          <t>1 pupuk, 1 pestisida</t>
        </is>
      </c>
      <c r="I71" s="171" t="n"/>
      <c r="J71" s="172" t="n"/>
    </row>
    <row r="72" ht="18" customHeight="1">
      <c r="A72" s="390" t="n">
        <v>3</v>
      </c>
      <c r="B72" s="391" t="inlineStr">
        <is>
          <t>Timbangan digital 50kg</t>
        </is>
      </c>
      <c r="C72" s="477" t="n">
        <v>1</v>
      </c>
      <c r="D72" s="477" t="inlineStr">
        <is>
          <t>unit</t>
        </is>
      </c>
      <c r="E72" s="183" t="n">
        <v>450000</v>
      </c>
      <c r="F72" s="184" t="n">
        <v>450000</v>
      </c>
      <c r="G72" s="400" t="inlineStr">
        <is>
          <t>Fase 1</t>
        </is>
      </c>
      <c r="H72" s="394" t="n"/>
      <c r="I72" s="171" t="n"/>
      <c r="J72" s="172" t="n"/>
    </row>
    <row r="73" ht="18" customHeight="1">
      <c r="A73" s="187" t="n">
        <v>4</v>
      </c>
      <c r="B73" s="188" t="inlineStr">
        <is>
          <t>Karung panen 25kg (200 pcs)</t>
        </is>
      </c>
      <c r="C73" s="189" t="n">
        <v>200</v>
      </c>
      <c r="D73" s="189" t="inlineStr">
        <is>
          <t>pcs</t>
        </is>
      </c>
      <c r="E73" s="183" t="n">
        <v>2500</v>
      </c>
      <c r="F73" s="184" t="n">
        <v>500000</v>
      </c>
      <c r="G73" s="400" t="inlineStr">
        <is>
          <t>Fase 1</t>
        </is>
      </c>
      <c r="H73" s="190" t="n"/>
      <c r="I73" s="171" t="n"/>
      <c r="J73" s="172" t="n"/>
    </row>
    <row r="74" ht="18" customHeight="1">
      <c r="A74" s="390" t="n">
        <v>5</v>
      </c>
      <c r="B74" s="391" t="inlineStr">
        <is>
          <t>Keranjang plastik berlubang</t>
        </is>
      </c>
      <c r="C74" s="477" t="n">
        <v>20</v>
      </c>
      <c r="D74" s="477" t="inlineStr">
        <is>
          <t>pcs</t>
        </is>
      </c>
      <c r="E74" s="183" t="n">
        <v>25000</v>
      </c>
      <c r="F74" s="184" t="n">
        <v>500000</v>
      </c>
      <c r="G74" s="400" t="inlineStr">
        <is>
          <t>Fase 1</t>
        </is>
      </c>
      <c r="H74" s="394" t="n"/>
      <c r="I74" s="171" t="n"/>
      <c r="J74" s="172" t="n"/>
    </row>
    <row r="75" ht="18" customHeight="1">
      <c r="A75" s="187" t="n">
        <v>6</v>
      </c>
      <c r="B75" s="188" t="inlineStr">
        <is>
          <t>APD lengkap (4 set)</t>
        </is>
      </c>
      <c r="C75" s="189" t="n">
        <v>4</v>
      </c>
      <c r="D75" s="189" t="inlineStr">
        <is>
          <t>set</t>
        </is>
      </c>
      <c r="E75" s="183" t="n">
        <v>100000</v>
      </c>
      <c r="F75" s="184" t="n">
        <v>400000</v>
      </c>
      <c r="G75" s="400" t="inlineStr">
        <is>
          <t>Fase 1</t>
        </is>
      </c>
      <c r="H75" s="190" t="n"/>
      <c r="I75" s="171" t="n"/>
      <c r="J75" s="172" t="n"/>
    </row>
    <row r="76" ht="18" customHeight="1">
      <c r="A76" s="390" t="n">
        <v>7</v>
      </c>
      <c r="B76" s="391" t="inlineStr">
        <is>
          <t>Gunting stainless panen tomat</t>
        </is>
      </c>
      <c r="C76" s="477" t="n">
        <v>15</v>
      </c>
      <c r="D76" s="477" t="inlineStr">
        <is>
          <t>pcs</t>
        </is>
      </c>
      <c r="E76" s="183" t="n">
        <v>25000</v>
      </c>
      <c r="F76" s="184" t="n">
        <v>375000</v>
      </c>
      <c r="G76" s="400" t="inlineStr">
        <is>
          <t>Fase 1</t>
        </is>
      </c>
      <c r="H76" s="394" t="inlineStr">
        <is>
          <t>Potong tangkai, jangan dicabut</t>
        </is>
      </c>
      <c r="I76" s="171" t="n"/>
      <c r="J76" s="172" t="n"/>
    </row>
    <row r="77" ht="18" customHeight="1">
      <c r="A77" s="187" t="n">
        <v>8</v>
      </c>
      <c r="B77" s="188" t="inlineStr">
        <is>
          <t>Keranjang buah berlubang 10kg</t>
        </is>
      </c>
      <c r="C77" s="189" t="n">
        <v>50</v>
      </c>
      <c r="D77" s="189" t="inlineStr">
        <is>
          <t>pcs</t>
        </is>
      </c>
      <c r="E77" s="183" t="n">
        <v>35000</v>
      </c>
      <c r="F77" s="184" t="n">
        <v>1750000</v>
      </c>
      <c r="G77" s="400" t="inlineStr">
        <is>
          <t>Fase 1</t>
        </is>
      </c>
      <c r="H77" s="190" t="inlineStr">
        <is>
          <t>Banyak keranjang karena panen tiap 2–3 hari</t>
        </is>
      </c>
      <c r="I77" s="171" t="n"/>
      <c r="J77" s="172" t="n"/>
    </row>
    <row r="78" ht="18" customHeight="1">
      <c r="A78" s="390" t="n">
        <v>9</v>
      </c>
      <c r="B78" s="391" t="inlineStr">
        <is>
          <t>Refractometer Brix (ukur kemanisan)</t>
        </is>
      </c>
      <c r="C78" s="477" t="n">
        <v>2</v>
      </c>
      <c r="D78" s="477" t="inlineStr">
        <is>
          <t>unit</t>
        </is>
      </c>
      <c r="E78" s="183" t="n">
        <v>250000</v>
      </c>
      <c r="F78" s="184" t="n">
        <v>500000</v>
      </c>
      <c r="G78" s="400" t="inlineStr">
        <is>
          <t>Fase 1</t>
        </is>
      </c>
      <c r="H78" s="394" t="inlineStr">
        <is>
          <t>Resto premium minta Brix &gt;8. Cherry harus manis</t>
        </is>
      </c>
      <c r="I78" s="171" t="n"/>
      <c r="J78" s="172" t="n"/>
    </row>
    <row r="79" ht="20" customHeight="1">
      <c r="A79" s="507" t="inlineStr">
        <is>
          <t xml:space="preserve">  ▶ SUBTOTAL: ALAT</t>
        </is>
      </c>
      <c r="B79" s="178" t="n"/>
      <c r="C79" s="178" t="n"/>
      <c r="D79" s="178" t="n"/>
      <c r="E79" s="178" t="n"/>
      <c r="F79" s="508" t="n">
        <v>5655000</v>
      </c>
      <c r="G79" s="509" t="n"/>
      <c r="H79" s="178" t="n"/>
      <c r="I79" s="178" t="n"/>
      <c r="J79" s="179" t="n"/>
    </row>
    <row r="80"/>
    <row r="81" ht="20" customHeight="1">
      <c r="A81" s="385" t="inlineStr">
        <is>
          <t xml:space="preserve">  F. TENAGA KERJA — SISTEM GAJI ADVANCE</t>
        </is>
      </c>
      <c r="B81" s="171" t="n"/>
      <c r="C81" s="171" t="n"/>
      <c r="D81" s="171" t="n"/>
      <c r="E81" s="171" t="n"/>
      <c r="F81" s="171" t="n"/>
      <c r="G81" s="171" t="n"/>
      <c r="H81" s="171" t="n"/>
      <c r="I81" s="171" t="n"/>
      <c r="J81" s="172" t="n"/>
    </row>
    <row r="82" ht="28" customHeight="1">
      <c r="A82" s="408" t="inlineStr">
        <is>
          <t xml:space="preserve">  ⚠️ Semua gaji di bawah = ADVANCE dari modal yayasan. Total advance Rp 61,500,000 dipotong dari porsi 40% (= Rp 75,200,000) saat panen. Bonus tunai saat panen = Rp 13,700,000</t>
        </is>
      </c>
      <c r="B82" s="171" t="n"/>
      <c r="C82" s="171" t="n"/>
      <c r="D82" s="171" t="n"/>
      <c r="E82" s="171" t="n"/>
      <c r="F82" s="171" t="n"/>
      <c r="G82" s="171" t="n"/>
      <c r="H82" s="171" t="n"/>
      <c r="I82" s="171" t="n"/>
      <c r="J82" s="172" t="n"/>
    </row>
    <row r="83" ht="26" customHeight="1">
      <c r="A83" s="450" t="inlineStr">
        <is>
          <t>No</t>
        </is>
      </c>
      <c r="B83" s="451" t="inlineStr">
        <is>
          <t>Uraian Pekerjaan / Item</t>
        </is>
      </c>
      <c r="C83" s="452" t="inlineStr">
        <is>
          <t>Vol</t>
        </is>
      </c>
      <c r="D83" s="452" t="inlineStr">
        <is>
          <t>Sat</t>
        </is>
      </c>
      <c r="E83" s="452" t="inlineStr">
        <is>
          <t>Harga Sat</t>
        </is>
      </c>
      <c r="F83" s="452" t="inlineStr">
        <is>
          <t>Total (Rp)</t>
        </is>
      </c>
      <c r="G83" s="452" t="inlineStr">
        <is>
          <t>Fase</t>
        </is>
      </c>
      <c r="H83" s="453" t="inlineStr">
        <is>
          <t>Keterangan</t>
        </is>
      </c>
      <c r="I83" s="178" t="n"/>
      <c r="J83" s="179" t="n"/>
    </row>
    <row r="84" ht="18" customHeight="1">
      <c r="A84" s="390" t="n">
        <v>1</v>
      </c>
      <c r="B84" s="476" t="inlineStr">
        <is>
          <t>Persemaian &amp; pindah tanam (4 org × 5 hari)</t>
        </is>
      </c>
      <c r="C84" s="477" t="n">
        <v>20</v>
      </c>
      <c r="D84" s="477" t="inlineStr">
        <is>
          <t>HOK</t>
        </is>
      </c>
      <c r="E84" s="183" t="n">
        <v>150000</v>
      </c>
      <c r="F84" s="401" t="n">
        <v>3000000</v>
      </c>
      <c r="G84" s="393" t="inlineStr">
        <is>
          <t>Fase 0</t>
        </is>
      </c>
      <c r="H84" s="394" t="inlineStr">
        <is>
          <t>ADVANCE. Semai intensif + pindah tanam hati-hati</t>
        </is>
      </c>
      <c r="I84" s="171" t="n"/>
      <c r="J84" s="172" t="n"/>
    </row>
    <row r="85" ht="18" customHeight="1">
      <c r="A85" s="390" t="n">
        <v>2</v>
      </c>
      <c r="B85" s="408" t="inlineStr">
        <is>
          <t>Perawatan intensif (4 org × 4 bln)</t>
        </is>
      </c>
      <c r="C85" s="477" t="n">
        <v>4</v>
      </c>
      <c r="D85" s="477" t="inlineStr">
        <is>
          <t>org/bln</t>
        </is>
      </c>
      <c r="E85" s="183" t="n">
        <v>2000000</v>
      </c>
      <c r="F85" s="401" t="n">
        <v>32000000</v>
      </c>
      <c r="G85" s="406" t="inlineStr">
        <is>
          <t>Rutin</t>
        </is>
      </c>
      <c r="H85" s="394" t="inlineStr">
        <is>
          <t>ADVANCE. Pruning, ikat, semprot 3×/mgg. SANGAT padat karya</t>
        </is>
      </c>
      <c r="I85" s="171" t="n"/>
      <c r="J85" s="172" t="n"/>
    </row>
    <row r="86" ht="18" customHeight="1">
      <c r="A86" s="390" t="n">
        <v>3</v>
      </c>
      <c r="B86" s="408" t="inlineStr">
        <is>
          <t>Panen bertahap tiap 2–3 hari (5 org × 30 kali)</t>
        </is>
      </c>
      <c r="C86" s="477" t="n">
        <v>150</v>
      </c>
      <c r="D86" s="477" t="inlineStr">
        <is>
          <t>HOK</t>
        </is>
      </c>
      <c r="E86" s="183" t="n">
        <v>150000</v>
      </c>
      <c r="F86" s="401" t="n">
        <v>22500000</v>
      </c>
      <c r="G86" s="406" t="inlineStr">
        <is>
          <t>Rutin</t>
        </is>
      </c>
      <c r="H86" s="394" t="inlineStr">
        <is>
          <t>ADVANCE. Tomat panen sangat sering selama 2–3 bulan</t>
        </is>
      </c>
      <c r="I86" s="171" t="n"/>
      <c r="J86" s="172" t="n"/>
    </row>
    <row r="87" ht="18" customHeight="1">
      <c r="A87" s="390" t="n">
        <v>4</v>
      </c>
      <c r="B87" s="476" t="inlineStr">
        <is>
          <t>Koordinator + liaison resto/hotel (4 bln)</t>
        </is>
      </c>
      <c r="C87" s="477" t="n">
        <v>4</v>
      </c>
      <c r="D87" s="477" t="inlineStr">
        <is>
          <t>bln</t>
        </is>
      </c>
      <c r="E87" s="183" t="n">
        <v>1000000</v>
      </c>
      <c r="F87" s="401" t="n">
        <v>4000000</v>
      </c>
      <c r="G87" s="406" t="inlineStr">
        <is>
          <t>Rutin</t>
        </is>
      </c>
      <c r="H87" s="394" t="inlineStr">
        <is>
          <t>ADVANCE. Koordinasi order mingguan dengan buyer resto/hotel</t>
        </is>
      </c>
      <c r="I87" s="171" t="n"/>
      <c r="J87" s="172" t="n"/>
    </row>
    <row r="88" ht="20" customHeight="1">
      <c r="A88" s="410" t="inlineStr">
        <is>
          <t xml:space="preserve">  ▶ TOTAL ADVANCE GAJI</t>
        </is>
      </c>
      <c r="B88" s="178" t="n"/>
      <c r="C88" s="178" t="n"/>
      <c r="D88" s="178" t="n"/>
      <c r="E88" s="178" t="n"/>
      <c r="F88" s="411" t="n">
        <v>61500000</v>
      </c>
      <c r="G88" s="412" t="inlineStr">
        <is>
          <t>Bonus panen tunai: Rp 13,700,000</t>
        </is>
      </c>
      <c r="H88" s="178" t="n"/>
      <c r="I88" s="178" t="n"/>
      <c r="J88" s="179" t="n"/>
    </row>
    <row r="89"/>
    <row r="90" ht="20" customHeight="1">
      <c r="A90" s="385" t="inlineStr">
        <is>
          <t xml:space="preserve">  G. PASCA PANEN, PENJUALAN &amp; DISTRIBUSI</t>
        </is>
      </c>
      <c r="B90" s="171" t="n"/>
      <c r="C90" s="171" t="n"/>
      <c r="D90" s="171" t="n"/>
      <c r="E90" s="171" t="n"/>
      <c r="F90" s="171" t="n"/>
      <c r="G90" s="171" t="n"/>
      <c r="H90" s="171" t="n"/>
      <c r="I90" s="171" t="n"/>
      <c r="J90" s="172" t="n"/>
    </row>
    <row r="91" ht="26" customHeight="1">
      <c r="A91" s="450" t="inlineStr">
        <is>
          <t>No</t>
        </is>
      </c>
      <c r="B91" s="451" t="inlineStr">
        <is>
          <t>Uraian Pekerjaan / Item</t>
        </is>
      </c>
      <c r="C91" s="452" t="inlineStr">
        <is>
          <t>Vol</t>
        </is>
      </c>
      <c r="D91" s="452" t="inlineStr">
        <is>
          <t>Sat</t>
        </is>
      </c>
      <c r="E91" s="452" t="inlineStr">
        <is>
          <t>Harga Sat</t>
        </is>
      </c>
      <c r="F91" s="452" t="inlineStr">
        <is>
          <t>Total (Rp)</t>
        </is>
      </c>
      <c r="G91" s="452" t="inlineStr">
        <is>
          <t>Fase</t>
        </is>
      </c>
      <c r="H91" s="453" t="inlineStr">
        <is>
          <t>Keterangan</t>
        </is>
      </c>
      <c r="I91" s="178" t="n"/>
      <c r="J91" s="179" t="n"/>
    </row>
    <row r="92" ht="18" customHeight="1">
      <c r="A92" s="390" t="n">
        <v>1</v>
      </c>
      <c r="B92" s="391" t="inlineStr">
        <is>
          <t>Grading &amp; sortasi (cherry S/M/L, beef grade A)</t>
        </is>
      </c>
      <c r="C92" s="477" t="n">
        <v>4</v>
      </c>
      <c r="D92" s="477" t="inlineStr">
        <is>
          <t>org/hari</t>
        </is>
      </c>
      <c r="E92" s="183" t="n">
        <v>150000</v>
      </c>
      <c r="F92" s="184" t="n">
        <v>600000</v>
      </c>
      <c r="G92" s="400" t="inlineStr">
        <is>
          <t>Fase 1</t>
        </is>
      </c>
      <c r="H92" s="394" t="inlineStr">
        <is>
          <t>Resto &amp; hotel minta konsistensi ukuran. Sortasi ketat</t>
        </is>
      </c>
      <c r="I92" s="171" t="n"/>
      <c r="J92" s="172" t="n"/>
    </row>
    <row r="93" ht="18" customHeight="1">
      <c r="A93" s="187" t="n">
        <v>2</v>
      </c>
      <c r="B93" s="188" t="inlineStr">
        <is>
          <t>Packaging punnet plastik 250g (cherry)</t>
        </is>
      </c>
      <c r="C93" s="189" t="n">
        <v>2000</v>
      </c>
      <c r="D93" s="189" t="inlineStr">
        <is>
          <t>pack</t>
        </is>
      </c>
      <c r="E93" s="183" t="n">
        <v>2500</v>
      </c>
      <c r="F93" s="184" t="n">
        <v>5000000</v>
      </c>
      <c r="G93" s="400" t="inlineStr">
        <is>
          <t>Fase 1</t>
        </is>
      </c>
      <c r="H93" s="190" t="inlineStr">
        <is>
          <t>Cherry untuk fine dining dalam punnet cantik. Branding Nawa Cahaya</t>
        </is>
      </c>
      <c r="I93" s="171" t="n"/>
      <c r="J93" s="172" t="n"/>
    </row>
    <row r="94" ht="18" customHeight="1">
      <c r="A94" s="390" t="n">
        <v>3</v>
      </c>
      <c r="B94" s="391" t="inlineStr">
        <is>
          <t>Packaging kardus 5kg (beef/tomat biasa)</t>
        </is>
      </c>
      <c r="C94" s="477" t="n">
        <v>500</v>
      </c>
      <c r="D94" s="477" t="inlineStr">
        <is>
          <t>kardus</t>
        </is>
      </c>
      <c r="E94" s="183" t="n">
        <v>3000</v>
      </c>
      <c r="F94" s="184" t="n">
        <v>1500000</v>
      </c>
      <c r="G94" s="400" t="inlineStr">
        <is>
          <t>Fase 1</t>
        </is>
      </c>
      <c r="H94" s="394" t="inlineStr">
        <is>
          <t>Untuk order bulk resto &amp; hotel</t>
        </is>
      </c>
      <c r="I94" s="171" t="n"/>
      <c r="J94" s="172" t="n"/>
    </row>
    <row r="95" ht="18" customHeight="1">
      <c r="A95" s="187" t="n">
        <v>4</v>
      </c>
      <c r="B95" s="188" t="inlineStr">
        <is>
          <t>Coolbox + es gel delivery ke buyer</t>
        </is>
      </c>
      <c r="C95" s="189" t="n">
        <v>1</v>
      </c>
      <c r="D95" s="189" t="inlineStr">
        <is>
          <t>paket</t>
        </is>
      </c>
      <c r="E95" s="183" t="n">
        <v>2000000</v>
      </c>
      <c r="F95" s="184" t="n">
        <v>2000000</v>
      </c>
      <c r="G95" s="400" t="inlineStr">
        <is>
          <t>Fase 1</t>
        </is>
      </c>
      <c r="H95" s="190" t="inlineStr">
        <is>
          <t>Tomat segar harus sampai dingin. Shelf life 7–10 hari di 12°C</t>
        </is>
      </c>
      <c r="I95" s="171" t="n"/>
      <c r="J95" s="172" t="n"/>
    </row>
    <row r="96" ht="18" customHeight="1">
      <c r="A96" s="390" t="n">
        <v>5</v>
      </c>
      <c r="B96" s="391" t="inlineStr">
        <is>
          <t>Biaya antar/delivery ke resto-hotel (4 bln)</t>
        </is>
      </c>
      <c r="C96" s="477" t="n">
        <v>4</v>
      </c>
      <c r="D96" s="477" t="inlineStr">
        <is>
          <t>bln</t>
        </is>
      </c>
      <c r="E96" s="183" t="n">
        <v>800000</v>
      </c>
      <c r="F96" s="184" t="n">
        <v>3200000</v>
      </c>
      <c r="G96" s="406" t="inlineStr">
        <is>
          <t>Rutin</t>
        </is>
      </c>
      <c r="H96" s="394" t="inlineStr">
        <is>
          <t>Motor box atau mobil kecil. Jadwal delivery 2–3× seminggu</t>
        </is>
      </c>
      <c r="I96" s="171" t="n"/>
      <c r="J96" s="172" t="n"/>
    </row>
    <row r="97" ht="20" customHeight="1">
      <c r="A97" s="507" t="inlineStr">
        <is>
          <t xml:space="preserve">  ▶ SUBTOTAL: PASCA PANEN</t>
        </is>
      </c>
      <c r="B97" s="178" t="n"/>
      <c r="C97" s="178" t="n"/>
      <c r="D97" s="178" t="n"/>
      <c r="E97" s="178" t="n"/>
      <c r="F97" s="508" t="n">
        <v>12300000</v>
      </c>
      <c r="G97" s="509" t="n"/>
      <c r="H97" s="178" t="n"/>
      <c r="I97" s="178" t="n"/>
      <c r="J97" s="179" t="n"/>
    </row>
    <row r="98"/>
    <row r="99" ht="34" customHeight="1">
      <c r="A99" s="457" t="inlineStr">
        <is>
          <t xml:space="preserve">  🏆 GRAND TOTAL — TOMAT CHERRY &amp; BEEF 1 HA</t>
        </is>
      </c>
      <c r="B99" s="200" t="n"/>
      <c r="C99" s="200" t="n"/>
      <c r="D99" s="200" t="n"/>
      <c r="E99" s="200" t="n"/>
      <c r="F99" s="458" t="n">
        <v>226975000</v>
      </c>
      <c r="G99" s="459" t="inlineStr">
        <is>
          <t>ROI Donatur: 8.3% | Bonus Tenaga: Rp 13,700,000</t>
        </is>
      </c>
      <c r="H99" s="200" t="n"/>
      <c r="I99" s="200" t="n"/>
      <c r="J99" s="203" t="n"/>
    </row>
    <row r="100"/>
    <row r="101">
      <c r="A101" s="510" t="inlineStr">
        <is>
          <t xml:space="preserve">  🏪 INFO PASAR LOKAL &amp; RESTO</t>
        </is>
      </c>
      <c r="B101" s="171" t="n"/>
      <c r="C101" s="171" t="n"/>
      <c r="D101" s="171" t="n"/>
      <c r="E101" s="171" t="n"/>
      <c r="F101" s="171" t="n"/>
      <c r="G101" s="171" t="n"/>
      <c r="H101" s="171" t="n"/>
      <c r="I101" s="171" t="n"/>
      <c r="J101" s="172" t="n"/>
    </row>
    <row r="102" ht="56" customHeight="1">
      <c r="A102" s="511" t="inlineStr">
        <is>
          <t>TOMAT — JALUR LOKAL: RESTO, HOTEL, BAR, DAPUR YAYASAN
Target buyer: restoran Italia, pizza, bar cocktail (cherry tomato), hotel bintang 4–5 (beef tomato).
Harga jual ke resto: cherry Rp 15.000–25.000/kg, beef Rp 8.000–12.000/kg (2–3× harga pasar).
Strategi: kontrak mingguan dengan 3–5 resto/hotel. Konsistensi kualitas &amp; delivery = kunci.
Dapur yayasan: surplus produksi masuk dapur. 20 anak butuh ±20kg/minggu = hemat Rp 200rb/mgg.
Syarat resto premium: sertifikat GAP (Good Agricultural Practices) direkomendasikan Fase 2.</t>
        </is>
      </c>
      <c r="B102" s="171" t="n"/>
      <c r="C102" s="171" t="n"/>
      <c r="D102" s="171" t="n"/>
      <c r="E102" s="171" t="n"/>
      <c r="F102" s="171" t="n"/>
      <c r="G102" s="171" t="n"/>
      <c r="H102" s="171" t="n"/>
      <c r="I102" s="171" t="n"/>
      <c r="J102" s="172" t="n"/>
    </row>
  </sheetData>
  <mergeCells count="111">
    <mergeCell ref="A17:G17"/>
    <mergeCell ref="H17:J17"/>
    <mergeCell ref="H69:J69"/>
    <mergeCell ref="H11:J11"/>
    <mergeCell ref="A79:E79"/>
    <mergeCell ref="A9:G9"/>
    <mergeCell ref="H84:J84"/>
    <mergeCell ref="H22:J22"/>
    <mergeCell ref="H75:J75"/>
    <mergeCell ref="H86:J86"/>
    <mergeCell ref="A11:G11"/>
    <mergeCell ref="H95:J95"/>
    <mergeCell ref="H5:J5"/>
    <mergeCell ref="H92:J92"/>
    <mergeCell ref="H78:J78"/>
    <mergeCell ref="G66:J66"/>
    <mergeCell ref="H44:J44"/>
    <mergeCell ref="H58:J58"/>
    <mergeCell ref="H64:J64"/>
    <mergeCell ref="H21:J21"/>
    <mergeCell ref="H73:J73"/>
    <mergeCell ref="H51:J51"/>
    <mergeCell ref="H60:J60"/>
    <mergeCell ref="A8:G8"/>
    <mergeCell ref="G29:J29"/>
    <mergeCell ref="A4:J4"/>
    <mergeCell ref="A81:J81"/>
    <mergeCell ref="H7:J7"/>
    <mergeCell ref="H16:J16"/>
    <mergeCell ref="A31:J31"/>
    <mergeCell ref="A40:J40"/>
    <mergeCell ref="H57:J57"/>
    <mergeCell ref="H27:J27"/>
    <mergeCell ref="A82:J82"/>
    <mergeCell ref="H77:J77"/>
    <mergeCell ref="A3:E3"/>
    <mergeCell ref="H33:J33"/>
    <mergeCell ref="H42:J42"/>
    <mergeCell ref="G97:J97"/>
    <mergeCell ref="G38:J38"/>
    <mergeCell ref="H35:J35"/>
    <mergeCell ref="A97:E97"/>
    <mergeCell ref="H20:J20"/>
    <mergeCell ref="A29:E29"/>
    <mergeCell ref="A38:E38"/>
    <mergeCell ref="A12:G12"/>
    <mergeCell ref="A2:J2"/>
    <mergeCell ref="H59:J59"/>
    <mergeCell ref="A5:G5"/>
    <mergeCell ref="A14:G14"/>
    <mergeCell ref="H46:J46"/>
    <mergeCell ref="G88:J88"/>
    <mergeCell ref="H25:J25"/>
    <mergeCell ref="H52:J52"/>
    <mergeCell ref="H61:J61"/>
    <mergeCell ref="H70:J70"/>
    <mergeCell ref="H45:J45"/>
    <mergeCell ref="G99:J99"/>
    <mergeCell ref="H32:J32"/>
    <mergeCell ref="F3:J3"/>
    <mergeCell ref="H13:J13"/>
    <mergeCell ref="H65:J65"/>
    <mergeCell ref="H47:J47"/>
    <mergeCell ref="H87:J87"/>
    <mergeCell ref="A66:E66"/>
    <mergeCell ref="H15:J15"/>
    <mergeCell ref="H71:J71"/>
    <mergeCell ref="H24:J24"/>
    <mergeCell ref="H76:J76"/>
    <mergeCell ref="H8:J8"/>
    <mergeCell ref="A16:G16"/>
    <mergeCell ref="H26:J26"/>
    <mergeCell ref="H53:J53"/>
    <mergeCell ref="A90:J90"/>
    <mergeCell ref="H63:J63"/>
    <mergeCell ref="H50:J50"/>
    <mergeCell ref="A56:J56"/>
    <mergeCell ref="H34:J34"/>
    <mergeCell ref="H9:J9"/>
    <mergeCell ref="A101:J101"/>
    <mergeCell ref="H49:J49"/>
    <mergeCell ref="H36:J36"/>
    <mergeCell ref="G79:J79"/>
    <mergeCell ref="H85:J85"/>
    <mergeCell ref="H94:J94"/>
    <mergeCell ref="G54:J54"/>
    <mergeCell ref="A88:E88"/>
    <mergeCell ref="A19:J19"/>
    <mergeCell ref="A68:J68"/>
    <mergeCell ref="A13:G13"/>
    <mergeCell ref="A102:J102"/>
    <mergeCell ref="H72:J72"/>
    <mergeCell ref="A54:E54"/>
    <mergeCell ref="H28:J28"/>
    <mergeCell ref="H37:J37"/>
    <mergeCell ref="A99:E99"/>
    <mergeCell ref="H12:J12"/>
    <mergeCell ref="A15:G15"/>
    <mergeCell ref="H96:J96"/>
    <mergeCell ref="H48:J48"/>
    <mergeCell ref="A1:J1"/>
    <mergeCell ref="H62:J62"/>
    <mergeCell ref="H14:J14"/>
    <mergeCell ref="H23:J23"/>
    <mergeCell ref="A7:G7"/>
    <mergeCell ref="H91:J91"/>
    <mergeCell ref="H43:J43"/>
    <mergeCell ref="H41:J41"/>
    <mergeCell ref="H93:J93"/>
    <mergeCell ref="H74:J74"/>
    <mergeCell ref="H83:J8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8" customWidth="1" min="4" max="4"/>
    <col width="14" customWidth="1" min="5" max="5"/>
    <col width="14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512" t="inlineStr">
        <is>
          <t>🥬 PAKET SAYUR KEBUTUHAN RESTO, HOTEL &amp; BAR — PLAN B: PASAR LOKAL PREMIUM</t>
        </is>
      </c>
    </row>
    <row r="2" ht="18" customHeight="1">
      <c r="A2" s="169" t="inlineStr">
        <is>
          <t>Multi-komoditi sayur dalam 1 lahan 1 ha — Subsidi dapur yayasan + Penjualan ke resto/hotel/bar</t>
        </is>
      </c>
    </row>
    <row r="3" ht="22" customHeight="1">
      <c r="A3" s="505" t="inlineStr">
        <is>
          <t xml:space="preserve">  🏪 JALUR B — LOKAL PREMIUM: Sayur segar untuk resto, hotel, bar, café. Surplus ke pasar umum. Defisit ke dapur yayasan.</t>
        </is>
      </c>
      <c r="B3" s="171" t="n"/>
      <c r="C3" s="171" t="n"/>
      <c r="D3" s="171" t="n"/>
      <c r="E3" s="171" t="n"/>
      <c r="F3" s="506" t="inlineStr">
        <is>
          <t>Model CSA (Community Supported Agriculture): kontrak mingguan langsung dengan buyer.</t>
        </is>
      </c>
      <c r="G3" s="171" t="n"/>
      <c r="H3" s="171" t="n"/>
      <c r="I3" s="171" t="n"/>
      <c r="J3" s="172" t="n"/>
    </row>
    <row r="4"/>
    <row r="5">
      <c r="A5" s="173" t="inlineStr">
        <is>
          <t>📋 KATALOG SAYUR, KAPASITAS &amp; TARGET HARGA JUAL KE BUYER</t>
        </is>
      </c>
      <c r="B5" s="171" t="n"/>
      <c r="C5" s="171" t="n"/>
      <c r="D5" s="171" t="n"/>
      <c r="E5" s="171" t="n"/>
      <c r="F5" s="171" t="n"/>
      <c r="G5" s="171" t="n"/>
      <c r="H5" s="171" t="n"/>
      <c r="I5" s="171" t="n"/>
      <c r="J5" s="172" t="n"/>
    </row>
    <row r="6" ht="28" customHeight="1">
      <c r="A6" s="513" t="inlineStr">
        <is>
          <t>No</t>
        </is>
      </c>
      <c r="B6" s="513" t="inlineStr">
        <is>
          <t>Komoditi</t>
        </is>
      </c>
      <c r="C6" s="513" t="inlineStr">
        <is>
          <t>Luas (m²)</t>
        </is>
      </c>
      <c r="D6" s="513" t="inlineStr">
        <is>
          <t>Siklus</t>
        </is>
      </c>
      <c r="E6" s="513" t="inlineStr">
        <is>
          <t>Hasil/Siklus</t>
        </is>
      </c>
      <c r="F6" s="513" t="inlineStr">
        <is>
          <t>Harga Resto</t>
        </is>
      </c>
      <c r="G6" s="513" t="inlineStr">
        <is>
          <t>Harga Pasar</t>
        </is>
      </c>
      <c r="H6" s="513" t="inlineStr">
        <is>
          <t>Revenue/Siklus</t>
        </is>
      </c>
      <c r="I6" s="513" t="inlineStr">
        <is>
          <t>Kebutuhan Dapur/Bln</t>
        </is>
      </c>
      <c r="J6" s="513" t="inlineStr">
        <is>
          <t>Target Buyer</t>
        </is>
      </c>
    </row>
    <row r="7" ht="20" customHeight="1">
      <c r="A7" s="514" t="n">
        <v>1</v>
      </c>
      <c r="B7" s="515" t="inlineStr">
        <is>
          <t>🥬 Selada Butterhead / Romaine</t>
        </is>
      </c>
      <c r="C7" s="516" t="inlineStr">
        <is>
          <t>1.000</t>
        </is>
      </c>
      <c r="D7" s="516" t="inlineStr">
        <is>
          <t>30 hari</t>
        </is>
      </c>
      <c r="E7" s="516" t="inlineStr">
        <is>
          <t>300 kg</t>
        </is>
      </c>
      <c r="F7" s="516" t="inlineStr">
        <is>
          <t>Rp 25.000/kg</t>
        </is>
      </c>
      <c r="G7" s="516" t="inlineStr">
        <is>
          <t>Rp 12.000/kg</t>
        </is>
      </c>
      <c r="H7" s="516" t="inlineStr">
        <is>
          <t>Rp 7.500.000</t>
        </is>
      </c>
      <c r="I7" s="516" t="inlineStr">
        <is>
          <t>15 kg/bln</t>
        </is>
      </c>
      <c r="J7" s="517" t="inlineStr">
        <is>
          <t>Hotel bintang 4–5, restoran Western, salad bar</t>
        </is>
      </c>
    </row>
    <row r="8" ht="20" customHeight="1">
      <c r="A8" s="518" t="n">
        <v>2</v>
      </c>
      <c r="B8" s="230" t="inlineStr">
        <is>
          <t>🌿 Bayam organik merah &amp; hijau</t>
        </is>
      </c>
      <c r="C8" s="284" t="inlineStr">
        <is>
          <t>500</t>
        </is>
      </c>
      <c r="D8" s="284" t="inlineStr">
        <is>
          <t>21 hari</t>
        </is>
      </c>
      <c r="E8" s="284" t="inlineStr">
        <is>
          <t>150 kg</t>
        </is>
      </c>
      <c r="F8" s="284" t="inlineStr">
        <is>
          <t>Rp 20.000/kg</t>
        </is>
      </c>
      <c r="G8" s="284" t="inlineStr">
        <is>
          <t>Rp 8.000/kg</t>
        </is>
      </c>
      <c r="H8" s="284" t="inlineStr">
        <is>
          <t>Rp 3.000.000</t>
        </is>
      </c>
      <c r="I8" s="284" t="inlineStr">
        <is>
          <t>10 kg/bln</t>
        </is>
      </c>
      <c r="J8" s="519" t="inlineStr">
        <is>
          <t>Restoran sehat, café smoothie, dapur yayasan</t>
        </is>
      </c>
    </row>
    <row r="9" ht="20" customHeight="1">
      <c r="A9" s="520" t="n">
        <v>3</v>
      </c>
      <c r="B9" s="521" t="inlineStr">
        <is>
          <t>🥦 Brokoli lokal</t>
        </is>
      </c>
      <c r="C9" s="522" t="inlineStr">
        <is>
          <t>500</t>
        </is>
      </c>
      <c r="D9" s="522" t="inlineStr">
        <is>
          <t>60 hari</t>
        </is>
      </c>
      <c r="E9" s="522" t="inlineStr">
        <is>
          <t>350 kg</t>
        </is>
      </c>
      <c r="F9" s="522" t="inlineStr">
        <is>
          <t>Rp 30.000/kg</t>
        </is>
      </c>
      <c r="G9" s="522" t="inlineStr">
        <is>
          <t>Rp 15.000/kg</t>
        </is>
      </c>
      <c r="H9" s="522" t="inlineStr">
        <is>
          <t>Rp 10.500.000</t>
        </is>
      </c>
      <c r="I9" s="522" t="inlineStr">
        <is>
          <t>8 kg/bln</t>
        </is>
      </c>
      <c r="J9" s="523" t="inlineStr">
        <is>
          <t>Hotel, restoran Western, supermarket premium</t>
        </is>
      </c>
    </row>
    <row r="10" ht="20" customHeight="1">
      <c r="A10" s="524" t="n">
        <v>4</v>
      </c>
      <c r="B10" s="525" t="inlineStr">
        <is>
          <t>🥕 Wortel baby (baby carrot)</t>
        </is>
      </c>
      <c r="C10" s="526" t="inlineStr">
        <is>
          <t>500</t>
        </is>
      </c>
      <c r="D10" s="526" t="inlineStr">
        <is>
          <t>70 hari</t>
        </is>
      </c>
      <c r="E10" s="526" t="inlineStr">
        <is>
          <t>500 kg</t>
        </is>
      </c>
      <c r="F10" s="526" t="inlineStr">
        <is>
          <t>Rp 18.000/kg</t>
        </is>
      </c>
      <c r="G10" s="526" t="inlineStr">
        <is>
          <t>Rp 8.000/kg</t>
        </is>
      </c>
      <c r="H10" s="526" t="inlineStr">
        <is>
          <t>Rp 9.000.000</t>
        </is>
      </c>
      <c r="I10" s="526" t="inlineStr">
        <is>
          <t>10 kg/bln</t>
        </is>
      </c>
      <c r="J10" s="527" t="inlineStr">
        <is>
          <t>Fine dining garnish, dapur yayasan</t>
        </is>
      </c>
    </row>
    <row r="11" ht="20" customHeight="1">
      <c r="A11" s="518" t="n">
        <v>5</v>
      </c>
      <c r="B11" s="230" t="inlineStr">
        <is>
          <t>🧅 Bawang daun / kucai</t>
        </is>
      </c>
      <c r="C11" s="284" t="inlineStr">
        <is>
          <t>500</t>
        </is>
      </c>
      <c r="D11" s="284" t="inlineStr">
        <is>
          <t>45 hari</t>
        </is>
      </c>
      <c r="E11" s="284" t="inlineStr">
        <is>
          <t>250 kg</t>
        </is>
      </c>
      <c r="F11" s="284" t="inlineStr">
        <is>
          <t>Rp 15.000/kg</t>
        </is>
      </c>
      <c r="G11" s="284" t="inlineStr">
        <is>
          <t>Rp 8.000/kg</t>
        </is>
      </c>
      <c r="H11" s="284" t="inlineStr">
        <is>
          <t>Rp 3.750.000</t>
        </is>
      </c>
      <c r="I11" s="284" t="inlineStr">
        <is>
          <t>5 kg/bln</t>
        </is>
      </c>
      <c r="J11" s="519" t="inlineStr">
        <is>
          <t>Restoran masakan Asia, dapur yayasan</t>
        </is>
      </c>
    </row>
    <row r="12" ht="20" customHeight="1">
      <c r="A12" s="514" t="n">
        <v>6</v>
      </c>
      <c r="B12" s="515" t="inlineStr">
        <is>
          <t>🥗 Microgreens premium</t>
        </is>
      </c>
      <c r="C12" s="516" t="inlineStr">
        <is>
          <t>200</t>
        </is>
      </c>
      <c r="D12" s="516" t="inlineStr">
        <is>
          <t>10–14 hari</t>
        </is>
      </c>
      <c r="E12" s="516" t="inlineStr">
        <is>
          <t>40 kg</t>
        </is>
      </c>
      <c r="F12" s="516" t="inlineStr">
        <is>
          <t>Rp 80.000/kg</t>
        </is>
      </c>
      <c r="G12" s="516" t="inlineStr">
        <is>
          <t>Rp 30.000/kg</t>
        </is>
      </c>
      <c r="H12" s="516" t="inlineStr">
        <is>
          <t>Rp 3.200.000</t>
        </is>
      </c>
      <c r="I12" s="516" t="inlineStr">
        <is>
          <t>2 kg/bln</t>
        </is>
      </c>
      <c r="J12" s="517" t="inlineStr">
        <is>
          <t>Fine dining plating, hotel bintang 5, café premium</t>
        </is>
      </c>
    </row>
    <row r="13" ht="20" customHeight="1">
      <c r="A13" s="528" t="n">
        <v>7</v>
      </c>
      <c r="B13" s="529" t="inlineStr">
        <is>
          <t>🌶️ Paprika merah/kuning</t>
        </is>
      </c>
      <c r="C13" s="530" t="inlineStr">
        <is>
          <t>500</t>
        </is>
      </c>
      <c r="D13" s="530" t="inlineStr">
        <is>
          <t>90 hari</t>
        </is>
      </c>
      <c r="E13" s="530" t="inlineStr">
        <is>
          <t>1.000 kg</t>
        </is>
      </c>
      <c r="F13" s="530" t="inlineStr">
        <is>
          <t>Rp 45.000/kg</t>
        </is>
      </c>
      <c r="G13" s="530" t="inlineStr">
        <is>
          <t>Rp 25.000/kg</t>
        </is>
      </c>
      <c r="H13" s="530" t="inlineStr">
        <is>
          <t>Rp 45.000.000</t>
        </is>
      </c>
      <c r="I13" s="530" t="inlineStr">
        <is>
          <t>3 kg/bln</t>
        </is>
      </c>
      <c r="J13" s="531" t="inlineStr">
        <is>
          <t>Bar cocktail, pizza resto, hotel internasional</t>
        </is>
      </c>
    </row>
    <row r="14" ht="20" customHeight="1">
      <c r="A14" s="532" t="n">
        <v>8</v>
      </c>
      <c r="B14" s="533" t="inlineStr">
        <is>
          <t>🥒 Timun Jepang (Japanese cucumber)</t>
        </is>
      </c>
      <c r="C14" s="534" t="inlineStr">
        <is>
          <t>300</t>
        </is>
      </c>
      <c r="D14" s="534" t="inlineStr">
        <is>
          <t>45 hari</t>
        </is>
      </c>
      <c r="E14" s="534" t="inlineStr">
        <is>
          <t>450 kg</t>
        </is>
      </c>
      <c r="F14" s="534" t="inlineStr">
        <is>
          <t>Rp 12.000/kg</t>
        </is>
      </c>
      <c r="G14" s="534" t="inlineStr">
        <is>
          <t>Rp 6.000/kg</t>
        </is>
      </c>
      <c r="H14" s="534" t="inlineStr">
        <is>
          <t>Rp 5.400.000</t>
        </is>
      </c>
      <c r="I14" s="534" t="inlineStr">
        <is>
          <t>8 kg/bln</t>
        </is>
      </c>
      <c r="J14" s="535" t="inlineStr">
        <is>
          <t>Sushi resto, hotel, dapur yayasan</t>
        </is>
      </c>
    </row>
    <row r="15" ht="20" customHeight="1">
      <c r="A15" s="514" t="n">
        <v>9</v>
      </c>
      <c r="B15" s="515" t="inlineStr">
        <is>
          <t>🌿 Kemangi &amp; basil Italian</t>
        </is>
      </c>
      <c r="C15" s="516" t="inlineStr">
        <is>
          <t>300</t>
        </is>
      </c>
      <c r="D15" s="516" t="inlineStr">
        <is>
          <t>30 hari</t>
        </is>
      </c>
      <c r="E15" s="516" t="inlineStr">
        <is>
          <t>90 kg</t>
        </is>
      </c>
      <c r="F15" s="516" t="inlineStr">
        <is>
          <t>Rp 40.000/kg</t>
        </is>
      </c>
      <c r="G15" s="516" t="inlineStr">
        <is>
          <t>Rp 15.000/kg</t>
        </is>
      </c>
      <c r="H15" s="516" t="inlineStr">
        <is>
          <t>Rp 3.600.000</t>
        </is>
      </c>
      <c r="I15" s="516" t="inlineStr">
        <is>
          <t>3 kg/bln</t>
        </is>
      </c>
      <c r="J15" s="517" t="inlineStr">
        <is>
          <t>Restoran Italia, pizza, bar cocktail (basil mojito)</t>
        </is>
      </c>
    </row>
    <row r="16" ht="20" customHeight="1">
      <c r="A16" s="518" t="n">
        <v>10</v>
      </c>
      <c r="B16" s="230" t="inlineStr">
        <is>
          <t>🥬 Kangkung organik</t>
        </is>
      </c>
      <c r="C16" s="284" t="inlineStr">
        <is>
          <t>500</t>
        </is>
      </c>
      <c r="D16" s="284" t="inlineStr">
        <is>
          <t>25 hari</t>
        </is>
      </c>
      <c r="E16" s="284" t="inlineStr">
        <is>
          <t>400 kg</t>
        </is>
      </c>
      <c r="F16" s="284" t="inlineStr">
        <is>
          <t>Rp 10.000/kg</t>
        </is>
      </c>
      <c r="G16" s="284" t="inlineStr">
        <is>
          <t>Rp 4.000/kg</t>
        </is>
      </c>
      <c r="H16" s="284" t="inlineStr">
        <is>
          <t>Rp 4.000.000</t>
        </is>
      </c>
      <c r="I16" s="284" t="inlineStr">
        <is>
          <t>20 kg/bln</t>
        </is>
      </c>
      <c r="J16" s="519" t="inlineStr">
        <is>
          <t>Dapur yayasan priority, surplus → pasar lokal</t>
        </is>
      </c>
    </row>
    <row r="17" ht="20" customHeight="1">
      <c r="A17" s="514" t="n">
        <v>11</v>
      </c>
      <c r="B17" s="515" t="inlineStr">
        <is>
          <t>🍃 Pakcoy / Bok Choy</t>
        </is>
      </c>
      <c r="C17" s="516" t="inlineStr">
        <is>
          <t>500</t>
        </is>
      </c>
      <c r="D17" s="516" t="inlineStr">
        <is>
          <t>30 hari</t>
        </is>
      </c>
      <c r="E17" s="516" t="inlineStr">
        <is>
          <t>600 kg</t>
        </is>
      </c>
      <c r="F17" s="516" t="inlineStr">
        <is>
          <t>Rp 12.000/kg</t>
        </is>
      </c>
      <c r="G17" s="516" t="inlineStr">
        <is>
          <t>Rp 5.000/kg</t>
        </is>
      </c>
      <c r="H17" s="516" t="inlineStr">
        <is>
          <t>Rp 7.200.000</t>
        </is>
      </c>
      <c r="I17" s="516" t="inlineStr">
        <is>
          <t>15 kg/bln</t>
        </is>
      </c>
      <c r="J17" s="517" t="inlineStr">
        <is>
          <t>Restoran Asia, hotel, sering diminta chef</t>
        </is>
      </c>
    </row>
    <row r="18" ht="20" customHeight="1">
      <c r="A18" s="536" t="n">
        <v>12</v>
      </c>
      <c r="B18" s="537" t="inlineStr">
        <is>
          <t>🌿 Mint, parsley, thyme (herb)</t>
        </is>
      </c>
      <c r="C18" s="538" t="inlineStr">
        <is>
          <t>200</t>
        </is>
      </c>
      <c r="D18" s="538" t="inlineStr">
        <is>
          <t>30 hari</t>
        </is>
      </c>
      <c r="E18" s="538" t="inlineStr">
        <is>
          <t>30 kg</t>
        </is>
      </c>
      <c r="F18" s="538" t="inlineStr">
        <is>
          <t>Rp 60.000/kg</t>
        </is>
      </c>
      <c r="G18" s="538" t="inlineStr">
        <is>
          <t>Rp 20.000/kg</t>
        </is>
      </c>
      <c r="H18" s="538" t="inlineStr">
        <is>
          <t>Rp 1.800.000</t>
        </is>
      </c>
      <c r="I18" s="538" t="inlineStr">
        <is>
          <t>1 kg/bln</t>
        </is>
      </c>
      <c r="J18" s="539" t="inlineStr">
        <is>
          <t>Bar &amp; cocktail lounge, fine dining, dapur yayasan</t>
        </is>
      </c>
    </row>
    <row r="19"/>
    <row r="20">
      <c r="A20" s="173" t="inlineStr">
        <is>
          <t>💰 ESTIMASI TOTAL REVENUE SAYUR PER SIKLUS TANAM</t>
        </is>
      </c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2" t="n"/>
    </row>
    <row r="21" ht="20" customHeight="1">
      <c r="A21" s="540" t="inlineStr">
        <is>
          <t xml:space="preserve">  Total estimasi revenue seluruh komoditi / siklus</t>
        </is>
      </c>
      <c r="B21" s="171" t="n"/>
      <c r="C21" s="171" t="n"/>
      <c r="D21" s="171" t="n"/>
      <c r="E21" s="171" t="n"/>
      <c r="F21" s="171" t="n"/>
      <c r="G21" s="171" t="n"/>
      <c r="H21" s="541" t="n">
        <v>103950000</v>
      </c>
      <c r="I21" s="171" t="n"/>
      <c r="J21" s="172" t="n"/>
    </row>
    <row r="22" ht="20" customHeight="1">
      <c r="A22" s="366" t="inlineStr">
        <is>
          <t xml:space="preserve">  Dikurangi kebutuhan dapur yayasan/bln</t>
        </is>
      </c>
      <c r="B22" s="171" t="n"/>
      <c r="C22" s="171" t="n"/>
      <c r="D22" s="171" t="n"/>
      <c r="E22" s="171" t="n"/>
      <c r="F22" s="171" t="n"/>
      <c r="G22" s="171" t="n"/>
      <c r="H22" s="367" t="inlineStr">
        <is>
          <t>(Rp 15.000.000)</t>
        </is>
      </c>
      <c r="I22" s="171" t="n"/>
      <c r="J22" s="172" t="n"/>
    </row>
    <row r="23" ht="20" customHeight="1">
      <c r="A23" s="368" t="inlineStr">
        <is>
          <t xml:space="preserve">  Sisa untuk bagi hasil (estimasi)</t>
        </is>
      </c>
      <c r="B23" s="171" t="n"/>
      <c r="C23" s="171" t="n"/>
      <c r="D23" s="171" t="n"/>
      <c r="E23" s="171" t="n"/>
      <c r="F23" s="171" t="n"/>
      <c r="G23" s="171" t="n"/>
      <c r="H23" s="369" t="n">
        <v>88950000</v>
      </c>
      <c r="I23" s="171" t="n"/>
      <c r="J23" s="172" t="n"/>
    </row>
    <row r="24" ht="20" customHeight="1">
      <c r="A24" s="370" t="inlineStr">
        <is>
          <t xml:space="preserve">  Bagi hasil: Yayasan 40%</t>
        </is>
      </c>
      <c r="B24" s="171" t="n"/>
      <c r="C24" s="171" t="n"/>
      <c r="D24" s="171" t="n"/>
      <c r="E24" s="171" t="n"/>
      <c r="F24" s="171" t="n"/>
      <c r="G24" s="171" t="n"/>
      <c r="H24" s="371" t="n">
        <v>35580000</v>
      </c>
      <c r="I24" s="171" t="n"/>
      <c r="J24" s="172" t="n"/>
    </row>
    <row r="25" ht="20" customHeight="1">
      <c r="A25" s="372" t="inlineStr">
        <is>
          <t xml:space="preserve">  Bagi hasil: Donatur 10%</t>
        </is>
      </c>
      <c r="B25" s="171" t="n"/>
      <c r="C25" s="171" t="n"/>
      <c r="D25" s="171" t="n"/>
      <c r="E25" s="171" t="n"/>
      <c r="F25" s="171" t="n"/>
      <c r="G25" s="171" t="n"/>
      <c r="H25" s="373" t="n">
        <v>8895000</v>
      </c>
      <c r="I25" s="171" t="n"/>
      <c r="J25" s="172" t="n"/>
    </row>
    <row r="26" ht="20" customHeight="1">
      <c r="A26" s="366" t="inlineStr">
        <is>
          <t xml:space="preserve">  Bagi hasil: Tenaga 40%</t>
        </is>
      </c>
      <c r="B26" s="171" t="n"/>
      <c r="C26" s="171" t="n"/>
      <c r="D26" s="171" t="n"/>
      <c r="E26" s="171" t="n"/>
      <c r="F26" s="171" t="n"/>
      <c r="G26" s="171" t="n"/>
      <c r="H26" s="376" t="n">
        <v>35580000</v>
      </c>
      <c r="I26" s="171" t="n"/>
      <c r="J26" s="172" t="n"/>
    </row>
    <row r="27" ht="20" customHeight="1">
      <c r="A27" s="381" t="inlineStr">
        <is>
          <t xml:space="preserve">  Bagi hasil: Anak Binaan 3%</t>
        </is>
      </c>
      <c r="B27" s="171" t="n"/>
      <c r="C27" s="171" t="n"/>
      <c r="D27" s="171" t="n"/>
      <c r="E27" s="171" t="n"/>
      <c r="F27" s="171" t="n"/>
      <c r="G27" s="171" t="n"/>
      <c r="H27" s="382" t="n">
        <v>2668500</v>
      </c>
      <c r="I27" s="171" t="n"/>
      <c r="J27" s="172" t="n"/>
    </row>
    <row r="28" ht="20" customHeight="1">
      <c r="A28" s="383" t="inlineStr">
        <is>
          <t xml:space="preserve">  Bagi hasil: Manajemen 10%</t>
        </is>
      </c>
      <c r="B28" s="171" t="n"/>
      <c r="C28" s="171" t="n"/>
      <c r="D28" s="171" t="n"/>
      <c r="E28" s="171" t="n"/>
      <c r="F28" s="171" t="n"/>
      <c r="G28" s="171" t="n"/>
      <c r="H28" s="384" t="n">
        <v>8895000</v>
      </c>
      <c r="I28" s="171" t="n"/>
      <c r="J28" s="172" t="n"/>
    </row>
    <row r="29"/>
    <row r="30"/>
    <row r="31">
      <c r="A31" s="173" t="inlineStr">
        <is>
          <t>🏗️ RAB INFRASTRUKTUR SAYUR (Investasi Awal — Berlaku Semua Komoditi Sayur)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2" t="n"/>
    </row>
    <row r="32" ht="26" customHeight="1">
      <c r="A32" s="542" t="inlineStr">
        <is>
          <t>No</t>
        </is>
      </c>
      <c r="B32" s="543" t="inlineStr">
        <is>
          <t>Item Infrastruktur</t>
        </is>
      </c>
      <c r="C32" s="544" t="inlineStr">
        <is>
          <t>Vol</t>
        </is>
      </c>
      <c r="D32" s="544" t="inlineStr">
        <is>
          <t>Sat</t>
        </is>
      </c>
      <c r="E32" s="544" t="inlineStr">
        <is>
          <t>Harga Sat</t>
        </is>
      </c>
      <c r="F32" s="544" t="inlineStr">
        <is>
          <t>Total (Rp)</t>
        </is>
      </c>
      <c r="G32" s="545" t="inlineStr">
        <is>
          <t>Keterangan</t>
        </is>
      </c>
      <c r="H32" s="178" t="n"/>
      <c r="I32" s="178" t="n"/>
      <c r="J32" s="179" t="n"/>
    </row>
    <row r="33" ht="20" customHeight="1">
      <c r="A33" s="229" t="n">
        <v>1</v>
      </c>
      <c r="B33" s="108" t="inlineStr">
        <is>
          <t>Greenhouse/screen house 5.000m² (50×100m)</t>
        </is>
      </c>
      <c r="C33" s="284" t="n">
        <v>1</v>
      </c>
      <c r="D33" s="546" t="inlineStr">
        <is>
          <t>paket</t>
        </is>
      </c>
      <c r="E33" s="547" t="n">
        <v>80000000</v>
      </c>
      <c r="F33" s="548" t="n">
        <v>80000000</v>
      </c>
      <c r="G33" s="549" t="inlineStr">
        <is>
          <t>Baja ringan + polycarbonate + insect screen. Lindungi dari hujan &amp; hama</t>
        </is>
      </c>
      <c r="H33" s="171" t="n"/>
      <c r="I33" s="171" t="n"/>
      <c r="J33" s="172" t="n"/>
    </row>
    <row r="34" ht="20" customHeight="1">
      <c r="A34" s="232" t="n">
        <v>2</v>
      </c>
      <c r="B34" s="550" t="inlineStr">
        <is>
          <t>Sistem drip irigasi + fertigasi lengkap</t>
        </is>
      </c>
      <c r="C34" s="551" t="n">
        <v>1</v>
      </c>
      <c r="D34" s="552" t="inlineStr">
        <is>
          <t>paket</t>
        </is>
      </c>
      <c r="E34" s="547" t="n">
        <v>25000000</v>
      </c>
      <c r="F34" s="548" t="n">
        <v>25000000</v>
      </c>
      <c r="G34" s="553" t="inlineStr">
        <is>
          <t>Dari titik keran yayasan. Fertigasi = pupuk cair via drip</t>
        </is>
      </c>
      <c r="H34" s="171" t="n"/>
      <c r="I34" s="171" t="n"/>
      <c r="J34" s="172" t="n"/>
    </row>
    <row r="35" ht="20" customHeight="1">
      <c r="A35" s="229" t="n">
        <v>3</v>
      </c>
      <c r="B35" s="108" t="inlineStr">
        <is>
          <t>Rak vertikal untuk microgreens (200m²)</t>
        </is>
      </c>
      <c r="C35" s="284" t="n">
        <v>1</v>
      </c>
      <c r="D35" s="546" t="inlineStr">
        <is>
          <t>set</t>
        </is>
      </c>
      <c r="E35" s="547" t="n">
        <v>8000000</v>
      </c>
      <c r="F35" s="548" t="n">
        <v>8000000</v>
      </c>
      <c r="G35" s="549" t="inlineStr">
        <is>
          <t>Rak besi 5 tingkat, hemat lahan, LED grow light</t>
        </is>
      </c>
      <c r="H35" s="171" t="n"/>
      <c r="I35" s="171" t="n"/>
      <c r="J35" s="172" t="n"/>
    </row>
    <row r="36" ht="20" customHeight="1">
      <c r="A36" s="232" t="n">
        <v>4</v>
      </c>
      <c r="B36" s="550" t="inlineStr">
        <is>
          <t>Cold storage mini 2 ton (10°C)</t>
        </is>
      </c>
      <c r="C36" s="551" t="n">
        <v>1</v>
      </c>
      <c r="D36" s="552" t="inlineStr">
        <is>
          <t>unit</t>
        </is>
      </c>
      <c r="E36" s="547" t="n">
        <v>25000000</v>
      </c>
      <c r="F36" s="548" t="n">
        <v>25000000</v>
      </c>
      <c r="G36" s="553" t="inlineStr">
        <is>
          <t>Penyimpanan sayur segar. Perpanjang shelf life 7–14 hari</t>
        </is>
      </c>
      <c r="H36" s="171" t="n"/>
      <c r="I36" s="171" t="n"/>
      <c r="J36" s="172" t="n"/>
    </row>
    <row r="37" ht="20" customHeight="1">
      <c r="A37" s="229" t="n">
        <v>5</v>
      </c>
      <c r="B37" s="108" t="inlineStr">
        <is>
          <t>Kendaraan delivery box (motor roda 3)</t>
        </is>
      </c>
      <c r="C37" s="284" t="n">
        <v>1</v>
      </c>
      <c r="D37" s="546" t="inlineStr">
        <is>
          <t>unit</t>
        </is>
      </c>
      <c r="E37" s="547" t="n">
        <v>20000000</v>
      </c>
      <c r="F37" s="548" t="n">
        <v>20000000</v>
      </c>
      <c r="G37" s="549" t="inlineStr">
        <is>
          <t>Delivery ke resto/hotel 3× seminggu. Kotak tertutup</t>
        </is>
      </c>
      <c r="H37" s="171" t="n"/>
      <c r="I37" s="171" t="n"/>
      <c r="J37" s="172" t="n"/>
    </row>
    <row r="38" ht="20" customHeight="1">
      <c r="A38" s="232" t="n">
        <v>6</v>
      </c>
      <c r="B38" s="550" t="inlineStr">
        <is>
          <t>Mesin cuci sayur stainless</t>
        </is>
      </c>
      <c r="C38" s="551" t="n">
        <v>1</v>
      </c>
      <c r="D38" s="552" t="inlineStr">
        <is>
          <t>unit</t>
        </is>
      </c>
      <c r="E38" s="547" t="n">
        <v>5000000</v>
      </c>
      <c r="F38" s="548" t="n">
        <v>5000000</v>
      </c>
      <c r="G38" s="553" t="inlineStr">
        <is>
          <t>Sayur bersih = nilai tambah. Resto tidak mau cuci sendiri</t>
        </is>
      </c>
      <c r="H38" s="171" t="n"/>
      <c r="I38" s="171" t="n"/>
      <c r="J38" s="172" t="n"/>
    </row>
    <row r="39" ht="20" customHeight="1">
      <c r="A39" s="229" t="n">
        <v>7</v>
      </c>
      <c r="B39" s="108" t="inlineStr">
        <is>
          <t>Timbangan digital + printer label</t>
        </is>
      </c>
      <c r="C39" s="284" t="n">
        <v>2</v>
      </c>
      <c r="D39" s="546" t="inlineStr">
        <is>
          <t>unit</t>
        </is>
      </c>
      <c r="E39" s="547" t="n">
        <v>2000000</v>
      </c>
      <c r="F39" s="548" t="n">
        <v>4000000</v>
      </c>
      <c r="G39" s="549" t="inlineStr">
        <is>
          <t>Label: nama produk, berat, tanggal panen, nama petani</t>
        </is>
      </c>
      <c r="H39" s="171" t="n"/>
      <c r="I39" s="171" t="n"/>
      <c r="J39" s="172" t="n"/>
    </row>
    <row r="40" ht="20" customHeight="1">
      <c r="A40" s="232" t="n">
        <v>8</v>
      </c>
      <c r="B40" s="550" t="inlineStr">
        <is>
          <t>Vacuum sealer untuk herb/microgreens</t>
        </is>
      </c>
      <c r="C40" s="551" t="n">
        <v>1</v>
      </c>
      <c r="D40" s="552" t="inlineStr">
        <is>
          <t>unit</t>
        </is>
      </c>
      <c r="E40" s="547" t="n">
        <v>3000000</v>
      </c>
      <c r="F40" s="548" t="n">
        <v>3000000</v>
      </c>
      <c r="G40" s="553" t="inlineStr">
        <is>
          <t>Herb vacuum = shelf life 14 hari vs 3 hari tanpa</t>
        </is>
      </c>
      <c r="H40" s="171" t="n"/>
      <c r="I40" s="171" t="n"/>
      <c r="J40" s="172" t="n"/>
    </row>
    <row r="41" ht="20" customHeight="1">
      <c r="A41" s="229" t="n">
        <v>9</v>
      </c>
      <c r="B41" s="108" t="inlineStr">
        <is>
          <t>Kebun benih / seedling area (200m²)</t>
        </is>
      </c>
      <c r="C41" s="284" t="n">
        <v>1</v>
      </c>
      <c r="D41" s="546" t="inlineStr">
        <is>
          <t>paket</t>
        </is>
      </c>
      <c r="E41" s="547" t="n">
        <v>5000000</v>
      </c>
      <c r="F41" s="548" t="n">
        <v>5000000</v>
      </c>
      <c r="G41" s="549" t="inlineStr">
        <is>
          <t>Area persemaian tertutup. Selalu siap bibit</t>
        </is>
      </c>
      <c r="H41" s="171" t="n"/>
      <c r="I41" s="171" t="n"/>
      <c r="J41" s="172" t="n"/>
    </row>
    <row r="42" ht="20" customHeight="1">
      <c r="A42" s="554" t="n">
        <v>10</v>
      </c>
      <c r="B42" s="92" t="inlineStr">
        <is>
          <t>Tenaga delivery + admin order (6 bln, ADVANCE)</t>
        </is>
      </c>
      <c r="C42" s="555" t="n">
        <v>6</v>
      </c>
      <c r="D42" s="556" t="inlineStr">
        <is>
          <t>bln</t>
        </is>
      </c>
      <c r="E42" s="547" t="n">
        <v>3000000</v>
      </c>
      <c r="F42" s="557" t="n">
        <v>18000000</v>
      </c>
      <c r="G42" s="558" t="inlineStr">
        <is>
          <t>ADVANCE. 1 orang driver delivery + koordinasi order resto</t>
        </is>
      </c>
      <c r="H42" s="171" t="n"/>
      <c r="I42" s="171" t="n"/>
      <c r="J42" s="172" t="n"/>
    </row>
    <row r="43" ht="24" customHeight="1">
      <c r="A43" s="559" t="inlineStr">
        <is>
          <t xml:space="preserve">  🏆 TOTAL INVESTASI INFRASTRUKTUR SAYUR</t>
        </is>
      </c>
      <c r="B43" s="200" t="n"/>
      <c r="C43" s="200" t="n"/>
      <c r="D43" s="200" t="n"/>
      <c r="E43" s="200" t="n"/>
      <c r="F43" s="560" t="n">
        <v>193000000</v>
      </c>
      <c r="G43" s="561" t="inlineStr">
        <is>
          <t>+ Biaya operasional bulanan per komoditi di sheet terpisah</t>
        </is>
      </c>
      <c r="H43" s="200" t="n"/>
      <c r="I43" s="200" t="n"/>
      <c r="J43" s="203" t="n"/>
    </row>
    <row r="44"/>
    <row r="45">
      <c r="A45" s="173" t="inlineStr">
        <is>
          <t>🎯 STRATEGI PENJUALAN &amp; TARGET BUYER LOKAL</t>
        </is>
      </c>
      <c r="B45" s="171" t="n"/>
      <c r="C45" s="171" t="n"/>
      <c r="D45" s="171" t="n"/>
      <c r="E45" s="171" t="n"/>
      <c r="F45" s="171" t="n"/>
      <c r="G45" s="171" t="n"/>
      <c r="H45" s="171" t="n"/>
      <c r="I45" s="171" t="n"/>
      <c r="J45" s="172" t="n"/>
    </row>
    <row r="46">
      <c r="A46" s="562" t="inlineStr">
        <is>
          <t>Segment</t>
        </is>
      </c>
      <c r="B46" s="563" t="inlineStr">
        <is>
          <t>Komoditi Utama</t>
        </is>
      </c>
      <c r="C46" s="563" t="inlineStr">
        <is>
          <t>Harga Jual</t>
        </is>
      </c>
      <c r="D46" s="564" t="inlineStr">
        <is>
          <t>Strategi &amp; Catatan</t>
        </is>
      </c>
      <c r="E46" s="178" t="n"/>
      <c r="F46" s="178" t="n"/>
      <c r="G46" s="178" t="n"/>
      <c r="H46" s="178" t="n"/>
      <c r="I46" s="178" t="n"/>
      <c r="J46" s="179" t="n"/>
    </row>
    <row r="47" ht="28" customHeight="1">
      <c r="A47" s="565" t="inlineStr">
        <is>
          <t>🍽️ Fine Dining / Restoran Bintang</t>
        </is>
      </c>
      <c r="B47" s="108" t="inlineStr">
        <is>
          <t>Microgreens, cherry tomato, paprika, herb premium</t>
        </is>
      </c>
      <c r="C47" s="566" t="inlineStr">
        <is>
          <t>Rp 40.000–80.000/kg</t>
        </is>
      </c>
      <c r="D47" s="567" t="inlineStr">
        <is>
          <t>Kontrak mingguan. Chef suka kunjungan ke kebun (story marketing)</t>
        </is>
      </c>
      <c r="E47" s="171" t="n"/>
      <c r="F47" s="171" t="n"/>
      <c r="G47" s="171" t="n"/>
      <c r="H47" s="171" t="n"/>
      <c r="I47" s="171" t="n"/>
      <c r="J47" s="172" t="n"/>
    </row>
    <row r="48" ht="28" customHeight="1">
      <c r="A48" s="568" t="inlineStr">
        <is>
          <t>🏨 Hotel Bintang 4–5 (F&amp;B Dept.)</t>
        </is>
      </c>
      <c r="B48" s="569" t="inlineStr">
        <is>
          <t>Selada, brokoli, wortel, pakcoy, tomat, herb</t>
        </is>
      </c>
      <c r="C48" s="570" t="inlineStr">
        <is>
          <t>Rp 15.000–40.000/kg</t>
        </is>
      </c>
      <c r="D48" s="571" t="inlineStr">
        <is>
          <t>Kontrak bulanan. Minta invoice + sertifikat GAP. Volume besar stabil</t>
        </is>
      </c>
      <c r="E48" s="171" t="n"/>
      <c r="F48" s="171" t="n"/>
      <c r="G48" s="171" t="n"/>
      <c r="H48" s="171" t="n"/>
      <c r="I48" s="171" t="n"/>
      <c r="J48" s="172" t="n"/>
    </row>
    <row r="49" ht="28" customHeight="1">
      <c r="A49" s="572" t="inlineStr">
        <is>
          <t>🍸 Bar &amp; Cocktail Lounge</t>
        </is>
      </c>
      <c r="B49" s="573" t="inlineStr">
        <is>
          <t>Mint, basil, cherry tomato, paprika, timun Jepang</t>
        </is>
      </c>
      <c r="C49" s="574" t="inlineStr">
        <is>
          <t>Rp 30.000–80.000/kg</t>
        </is>
      </c>
      <c r="D49" s="575" t="inlineStr">
        <is>
          <t>Herb segar untuk cocktail premium. Volume kecil tapi harga sangat tinggi</t>
        </is>
      </c>
      <c r="E49" s="171" t="n"/>
      <c r="F49" s="171" t="n"/>
      <c r="G49" s="171" t="n"/>
      <c r="H49" s="171" t="n"/>
      <c r="I49" s="171" t="n"/>
      <c r="J49" s="172" t="n"/>
    </row>
    <row r="50" ht="28" customHeight="1">
      <c r="A50" s="576" t="inlineStr">
        <is>
          <t>☕ Café Premium &amp; Brunch Spot</t>
        </is>
      </c>
      <c r="B50" s="577" t="inlineStr">
        <is>
          <t>Microgreens, herb, selada, tomat cherry</t>
        </is>
      </c>
      <c r="C50" s="578" t="inlineStr">
        <is>
          <t>Rp 25.000–60.000/kg</t>
        </is>
      </c>
      <c r="D50" s="579" t="inlineStr">
        <is>
          <t>Tren healthy brunch. Beli 2–3× seminggu. Foto kebun = konten medsos mereka</t>
        </is>
      </c>
      <c r="E50" s="171" t="n"/>
      <c r="F50" s="171" t="n"/>
      <c r="G50" s="171" t="n"/>
      <c r="H50" s="171" t="n"/>
      <c r="I50" s="171" t="n"/>
      <c r="J50" s="172" t="n"/>
    </row>
    <row r="51" ht="28" customHeight="1">
      <c r="A51" s="565" t="inlineStr">
        <is>
          <t>🏪 Supermarket Organik</t>
        </is>
      </c>
      <c r="B51" s="108" t="inlineStr">
        <is>
          <t>Semua sayur dengan label 'Nawa Cahaya Organic'</t>
        </is>
      </c>
      <c r="C51" s="566" t="inlineStr">
        <is>
          <t>Rp 15.000–35.000/kg</t>
        </is>
      </c>
      <c r="D51" s="567" t="inlineStr">
        <is>
          <t>Ranch Market, Whole Earth, All Fresh. Minta GAP + PIRT untuk packaging</t>
        </is>
      </c>
      <c r="E51" s="171" t="n"/>
      <c r="F51" s="171" t="n"/>
      <c r="G51" s="171" t="n"/>
      <c r="H51" s="171" t="n"/>
      <c r="I51" s="171" t="n"/>
      <c r="J51" s="172" t="n"/>
    </row>
    <row r="52" ht="28" customHeight="1">
      <c r="A52" s="580" t="inlineStr">
        <is>
          <t>🌿 Dapur Yayasan (Internal)</t>
        </is>
      </c>
      <c r="B52" s="581" t="inlineStr">
        <is>
          <t>Kangkung, bayam, tomat, wortel, pakcoy, kucai</t>
        </is>
      </c>
      <c r="C52" s="582" t="inlineStr">
        <is>
          <t>GRATIS / Subsidi</t>
        </is>
      </c>
      <c r="D52" s="583" t="inlineStr">
        <is>
          <t>Prioritas utama! Kurangi biaya makan harian anak binaan ±Rp 2 jt/bln</t>
        </is>
      </c>
      <c r="E52" s="171" t="n"/>
      <c r="F52" s="171" t="n"/>
      <c r="G52" s="171" t="n"/>
      <c r="H52" s="171" t="n"/>
      <c r="I52" s="171" t="n"/>
      <c r="J52" s="172" t="n"/>
    </row>
  </sheetData>
  <mergeCells count="44">
    <mergeCell ref="A5:J5"/>
    <mergeCell ref="G35:J35"/>
    <mergeCell ref="A22:G22"/>
    <mergeCell ref="A20:J20"/>
    <mergeCell ref="G41:J41"/>
    <mergeCell ref="D51:J51"/>
    <mergeCell ref="G32:J32"/>
    <mergeCell ref="A28:G28"/>
    <mergeCell ref="G40:J40"/>
    <mergeCell ref="F3:J3"/>
    <mergeCell ref="A31:J31"/>
    <mergeCell ref="D50:J50"/>
    <mergeCell ref="H22:J22"/>
    <mergeCell ref="H28:J28"/>
    <mergeCell ref="G43:J43"/>
    <mergeCell ref="H27:J27"/>
    <mergeCell ref="A24:G24"/>
    <mergeCell ref="G36:J36"/>
    <mergeCell ref="A3:E3"/>
    <mergeCell ref="G42:J42"/>
    <mergeCell ref="A1:J1"/>
    <mergeCell ref="A45:J45"/>
    <mergeCell ref="H24:J24"/>
    <mergeCell ref="D46:J46"/>
    <mergeCell ref="G39:J39"/>
    <mergeCell ref="H23:J23"/>
    <mergeCell ref="D52:J52"/>
    <mergeCell ref="G38:J38"/>
    <mergeCell ref="A25:G25"/>
    <mergeCell ref="H26:J26"/>
    <mergeCell ref="D49:J49"/>
    <mergeCell ref="G37:J37"/>
    <mergeCell ref="A43:E43"/>
    <mergeCell ref="A27:G27"/>
    <mergeCell ref="D48:J48"/>
    <mergeCell ref="A21:G21"/>
    <mergeCell ref="A2:J2"/>
    <mergeCell ref="G34:J34"/>
    <mergeCell ref="A26:G26"/>
    <mergeCell ref="D47:J47"/>
    <mergeCell ref="G33:J33"/>
    <mergeCell ref="H25:J25"/>
    <mergeCell ref="H21:J21"/>
    <mergeCell ref="A23:G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2" customWidth="1" min="8" max="8"/>
    <col width="8" customWidth="1" min="9" max="9"/>
    <col width="8" customWidth="1" min="10" max="10"/>
  </cols>
  <sheetData>
    <row r="1" ht="44" customHeight="1">
      <c r="A1" s="584" t="inlineStr">
        <is>
          <t>🐄 PAKET INVESTASI — SAPI PENGGEMUKAN  |  10 EKOR PENGGEMUKAN</t>
        </is>
      </c>
    </row>
    <row r="2" ht="18" customHeight="1">
      <c r="A2" s="169" t="inlineStr">
        <is>
          <t>Durasi: 5–6 Bulan (180 hari)  ·  BB awal: 270kg/ekor  ·  BB target: 450kg/ekor  ·  ADG: 900g/hari</t>
        </is>
      </c>
    </row>
    <row r="3"/>
    <row r="4">
      <c r="A4" s="173" t="inlineStr">
        <is>
          <t>📊 RINGKASAN INVESTASI &amp; PROYEKSI KEUNTUNGAN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464" t="inlineStr">
        <is>
          <t xml:space="preserve">  TOTAL INVESTASI (RAB Lengkap)</t>
        </is>
      </c>
      <c r="B5" s="171" t="n"/>
      <c r="C5" s="171" t="n"/>
      <c r="D5" s="171" t="n"/>
      <c r="E5" s="171" t="n"/>
      <c r="F5" s="171" t="n"/>
      <c r="G5" s="171" t="n"/>
      <c r="H5" s="465" t="n">
        <v>280220000</v>
      </c>
      <c r="I5" s="171" t="n"/>
      <c r="J5" s="172" t="n"/>
    </row>
    <row r="6"/>
    <row r="7" ht="20" customHeight="1">
      <c r="A7" s="585" t="inlineStr">
        <is>
          <t xml:space="preserve">  Berat Badan Awal — 10 ekor × 270kg</t>
        </is>
      </c>
      <c r="B7" s="171" t="n"/>
      <c r="C7" s="171" t="n"/>
      <c r="D7" s="171" t="n"/>
      <c r="E7" s="171" t="n"/>
      <c r="F7" s="171" t="n"/>
      <c r="G7" s="171" t="n"/>
      <c r="H7" s="586" t="inlineStr">
        <is>
          <t>2,700 kg</t>
        </is>
      </c>
      <c r="I7" s="171" t="n"/>
      <c r="J7" s="172" t="n"/>
    </row>
    <row r="8" ht="20" customHeight="1">
      <c r="A8" s="585" t="inlineStr">
        <is>
          <t xml:space="preserve">  Berat Badan Target Panen — 10 ekor × 450kg</t>
        </is>
      </c>
      <c r="B8" s="171" t="n"/>
      <c r="C8" s="171" t="n"/>
      <c r="D8" s="171" t="n"/>
      <c r="E8" s="171" t="n"/>
      <c r="F8" s="171" t="n"/>
      <c r="G8" s="171" t="n"/>
      <c r="H8" s="586" t="inlineStr">
        <is>
          <t>4,500 kg</t>
        </is>
      </c>
      <c r="I8" s="171" t="n"/>
      <c r="J8" s="172" t="n"/>
    </row>
    <row r="9" ht="20" customHeight="1">
      <c r="A9" s="364" t="inlineStr">
        <is>
          <t xml:space="preserve">  Total Pertambahan BB</t>
        </is>
      </c>
      <c r="B9" s="171" t="n"/>
      <c r="C9" s="171" t="n"/>
      <c r="D9" s="171" t="n"/>
      <c r="E9" s="171" t="n"/>
      <c r="F9" s="171" t="n"/>
      <c r="G9" s="171" t="n"/>
      <c r="H9" s="587" t="inlineStr">
        <is>
          <t>1,800 kg</t>
        </is>
      </c>
      <c r="I9" s="171" t="n"/>
      <c r="J9" s="172" t="n"/>
    </row>
    <row r="10" ht="20" customHeight="1">
      <c r="A10" s="466" t="inlineStr">
        <is>
          <t xml:space="preserve">  Harga Jual karkas (55% dari BB) Rp 130,000/kg</t>
        </is>
      </c>
      <c r="B10" s="171" t="n"/>
      <c r="C10" s="171" t="n"/>
      <c r="D10" s="171" t="n"/>
      <c r="E10" s="171" t="n"/>
      <c r="F10" s="171" t="n"/>
      <c r="G10" s="171" t="n"/>
      <c r="H10" s="467" t="n">
        <v>585000000</v>
      </c>
      <c r="I10" s="171" t="n"/>
      <c r="J10" s="172" t="n"/>
    </row>
    <row r="11" ht="20" customHeight="1">
      <c r="A11" s="366" t="inlineStr">
        <is>
          <t xml:space="preserve">  Potong Kebutuhan Dapur Yayasan</t>
        </is>
      </c>
      <c r="B11" s="171" t="n"/>
      <c r="C11" s="171" t="n"/>
      <c r="D11" s="171" t="n"/>
      <c r="E11" s="171" t="n"/>
      <c r="F11" s="171" t="n"/>
      <c r="G11" s="171" t="n"/>
      <c r="H11" s="367" t="inlineStr">
        <is>
          <t>(Rp 30,000,000)</t>
        </is>
      </c>
      <c r="I11" s="171" t="n"/>
      <c r="J11" s="172" t="n"/>
    </row>
    <row r="12" ht="20" customHeight="1">
      <c r="A12" s="368" t="inlineStr">
        <is>
          <t xml:space="preserve">  SISA BERSIH (DASAR BAGI HASIL)</t>
        </is>
      </c>
      <c r="B12" s="171" t="n"/>
      <c r="C12" s="171" t="n"/>
      <c r="D12" s="171" t="n"/>
      <c r="E12" s="171" t="n"/>
      <c r="F12" s="171" t="n"/>
      <c r="G12" s="171" t="n"/>
      <c r="H12" s="369" t="n">
        <v>555000000</v>
      </c>
      <c r="I12" s="171" t="n"/>
      <c r="J12" s="172" t="n"/>
    </row>
    <row r="13"/>
    <row r="14" ht="20" customHeight="1">
      <c r="A14" s="370" t="inlineStr">
        <is>
          <t xml:space="preserve">  🏛️ Yayasan 40%</t>
        </is>
      </c>
      <c r="B14" s="171" t="n"/>
      <c r="C14" s="171" t="n"/>
      <c r="D14" s="171" t="n"/>
      <c r="E14" s="171" t="n"/>
      <c r="F14" s="171" t="n"/>
      <c r="G14" s="171" t="n"/>
      <c r="H14" s="371" t="n">
        <v>222000000</v>
      </c>
      <c r="I14" s="171" t="n"/>
      <c r="J14" s="172" t="n"/>
    </row>
    <row r="15" ht="20" customHeight="1">
      <c r="A15" s="372" t="inlineStr">
        <is>
          <t xml:space="preserve">  💰 Donatur 10%</t>
        </is>
      </c>
      <c r="B15" s="171" t="n"/>
      <c r="C15" s="171" t="n"/>
      <c r="D15" s="171" t="n"/>
      <c r="E15" s="171" t="n"/>
      <c r="F15" s="171" t="n"/>
      <c r="G15" s="171" t="n"/>
      <c r="H15" s="373" t="n">
        <v>55500000</v>
      </c>
      <c r="I15" s="171" t="n"/>
      <c r="J15" s="172" t="n"/>
    </row>
    <row r="16" ht="20" customHeight="1">
      <c r="A16" s="374" t="inlineStr">
        <is>
          <t xml:space="preserve">    → ROI Donatur</t>
        </is>
      </c>
      <c r="B16" s="171" t="n"/>
      <c r="C16" s="171" t="n"/>
      <c r="D16" s="171" t="n"/>
      <c r="E16" s="171" t="n"/>
      <c r="F16" s="171" t="n"/>
      <c r="G16" s="171" t="n"/>
      <c r="H16" s="375" t="inlineStr">
        <is>
          <t>19.8%</t>
        </is>
      </c>
      <c r="I16" s="171" t="n"/>
      <c r="J16" s="172" t="n"/>
    </row>
    <row r="17" ht="20" customHeight="1">
      <c r="A17" s="366" t="inlineStr">
        <is>
          <t xml:space="preserve">  👷 Tenaga Lokal 40%</t>
        </is>
      </c>
      <c r="B17" s="171" t="n"/>
      <c r="C17" s="171" t="n"/>
      <c r="D17" s="171" t="n"/>
      <c r="E17" s="171" t="n"/>
      <c r="F17" s="171" t="n"/>
      <c r="G17" s="171" t="n"/>
      <c r="H17" s="376" t="n">
        <v>222000000</v>
      </c>
      <c r="I17" s="171" t="n"/>
      <c r="J17" s="172" t="n"/>
    </row>
    <row r="18" ht="20" customHeight="1">
      <c r="A18" s="377" t="inlineStr">
        <is>
          <t xml:space="preserve">    → Advance gaji dibayar</t>
        </is>
      </c>
      <c r="B18" s="171" t="n"/>
      <c r="C18" s="171" t="n"/>
      <c r="D18" s="171" t="n"/>
      <c r="E18" s="171" t="n"/>
      <c r="F18" s="171" t="n"/>
      <c r="G18" s="171" t="n"/>
      <c r="H18" s="378" t="inlineStr">
        <is>
          <t>(Rp 24,000,000)</t>
        </is>
      </c>
      <c r="I18" s="171" t="n"/>
      <c r="J18" s="172" t="n"/>
    </row>
    <row r="19" ht="20" customHeight="1">
      <c r="A19" s="379" t="inlineStr">
        <is>
          <t xml:space="preserve">    → BONUS PANEN tunai</t>
        </is>
      </c>
      <c r="B19" s="171" t="n"/>
      <c r="C19" s="171" t="n"/>
      <c r="D19" s="171" t="n"/>
      <c r="E19" s="171" t="n"/>
      <c r="F19" s="171" t="n"/>
      <c r="G19" s="171" t="n"/>
      <c r="H19" s="380" t="n">
        <v>198000000</v>
      </c>
      <c r="I19" s="171" t="n"/>
      <c r="J19" s="172" t="n"/>
    </row>
    <row r="20" ht="20" customHeight="1">
      <c r="A20" s="381" t="inlineStr">
        <is>
          <t xml:space="preserve">  👦 Anak Binaan avg 3%</t>
        </is>
      </c>
      <c r="B20" s="171" t="n"/>
      <c r="C20" s="171" t="n"/>
      <c r="D20" s="171" t="n"/>
      <c r="E20" s="171" t="n"/>
      <c r="F20" s="171" t="n"/>
      <c r="G20" s="171" t="n"/>
      <c r="H20" s="382" t="n">
        <v>16650000</v>
      </c>
      <c r="I20" s="171" t="n"/>
      <c r="J20" s="172" t="n"/>
    </row>
    <row r="21" ht="20" customHeight="1">
      <c r="A21" s="383" t="inlineStr">
        <is>
          <t xml:space="preserve">  🎯 Fee Manajemen 10%</t>
        </is>
      </c>
      <c r="B21" s="171" t="n"/>
      <c r="C21" s="171" t="n"/>
      <c r="D21" s="171" t="n"/>
      <c r="E21" s="171" t="n"/>
      <c r="F21" s="171" t="n"/>
      <c r="G21" s="171" t="n"/>
      <c r="H21" s="384" t="n">
        <v>55500000</v>
      </c>
      <c r="I21" s="171" t="n"/>
      <c r="J21" s="172" t="n"/>
    </row>
    <row r="22"/>
    <row r="23" ht="20" customHeight="1">
      <c r="A23" s="540" t="inlineStr">
        <is>
          <t xml:space="preserve">  PROFIT BRUTO (Revenue − Modal)</t>
        </is>
      </c>
      <c r="B23" s="171" t="n"/>
      <c r="C23" s="171" t="n"/>
      <c r="D23" s="171" t="n"/>
      <c r="E23" s="171" t="n"/>
      <c r="F23" s="171" t="n"/>
      <c r="G23" s="171" t="n"/>
      <c r="H23" s="541" t="n">
        <v>304780000</v>
      </c>
      <c r="I23" s="171" t="n"/>
      <c r="J23" s="172" t="n"/>
    </row>
    <row r="24" ht="20" customHeight="1">
      <c r="A24" s="540" t="inlineStr">
        <is>
          <t xml:space="preserve">  ROI Total</t>
        </is>
      </c>
      <c r="B24" s="171" t="n"/>
      <c r="C24" s="171" t="n"/>
      <c r="D24" s="171" t="n"/>
      <c r="E24" s="171" t="n"/>
      <c r="F24" s="171" t="n"/>
      <c r="G24" s="171" t="n"/>
      <c r="H24" s="588" t="inlineStr">
        <is>
          <t>108.8%</t>
        </is>
      </c>
      <c r="I24" s="171" t="n"/>
      <c r="J24" s="172" t="n"/>
    </row>
    <row r="25"/>
    <row r="26" ht="20" customHeight="1">
      <c r="A26" s="385" t="inlineStr">
        <is>
          <t xml:space="preserve">  A. KANDANG &amp; INFRASTRUKTUR</t>
        </is>
      </c>
      <c r="B26" s="171" t="n"/>
      <c r="C26" s="171" t="n"/>
      <c r="D26" s="171" t="n"/>
      <c r="E26" s="171" t="n"/>
      <c r="F26" s="171" t="n"/>
      <c r="G26" s="171" t="n"/>
      <c r="H26" s="171" t="n"/>
      <c r="I26" s="171" t="n"/>
      <c r="J26" s="172" t="n"/>
    </row>
    <row r="27" ht="26" customHeight="1">
      <c r="A27" s="589" t="inlineStr">
        <is>
          <t>No</t>
        </is>
      </c>
      <c r="B27" s="590" t="inlineStr">
        <is>
          <t>Uraian Item</t>
        </is>
      </c>
      <c r="C27" s="591" t="inlineStr">
        <is>
          <t>Vol</t>
        </is>
      </c>
      <c r="D27" s="591" t="inlineStr">
        <is>
          <t>Sat</t>
        </is>
      </c>
      <c r="E27" s="591" t="inlineStr">
        <is>
          <t>Harga Sat (Rp)</t>
        </is>
      </c>
      <c r="F27" s="591" t="inlineStr">
        <is>
          <t>Total (Rp)</t>
        </is>
      </c>
      <c r="G27" s="592" t="inlineStr">
        <is>
          <t>Ket.</t>
        </is>
      </c>
      <c r="H27" s="178" t="n"/>
      <c r="I27" s="178" t="n"/>
      <c r="J27" s="179" t="n"/>
    </row>
    <row r="28" ht="18" customHeight="1">
      <c r="A28" s="472" t="n">
        <v>1</v>
      </c>
      <c r="B28" s="473" t="inlineStr">
        <is>
          <t>Konstruksi kandang sapi (20×8m, kapasitas 10 ekor)</t>
        </is>
      </c>
      <c r="C28" s="593" t="n">
        <v>1</v>
      </c>
      <c r="D28" s="472" t="inlineStr">
        <is>
          <t>paket</t>
        </is>
      </c>
      <c r="E28" s="183" t="n">
        <v>25000000</v>
      </c>
      <c r="F28" s="184" t="n">
        <v>25000000</v>
      </c>
      <c r="G28" s="475" t="inlineStr">
        <is>
          <t>Baja ringan + atap spandek. 2m²/ekor. Lantai semen miring untuk kotoran</t>
        </is>
      </c>
      <c r="H28" s="171" t="n"/>
      <c r="I28" s="171" t="n"/>
      <c r="J28" s="172" t="n"/>
    </row>
    <row r="29" ht="18" customHeight="1">
      <c r="A29" s="187" t="n">
        <v>2</v>
      </c>
      <c r="B29" s="188" t="inlineStr">
        <is>
          <t>Sekat/pen individual 2×2m per ekor</t>
        </is>
      </c>
      <c r="C29" s="594" t="n">
        <v>10</v>
      </c>
      <c r="D29" s="187" t="inlineStr">
        <is>
          <t>unit</t>
        </is>
      </c>
      <c r="E29" s="183" t="n">
        <v>1500000</v>
      </c>
      <c r="F29" s="184" t="n">
        <v>15000000</v>
      </c>
      <c r="G29" s="190" t="inlineStr">
        <is>
          <t>Besi hollow 4×4cm. Pintu per pen untuk akses mudah</t>
        </is>
      </c>
      <c r="H29" s="171" t="n"/>
      <c r="I29" s="171" t="n"/>
      <c r="J29" s="172" t="n"/>
    </row>
    <row r="30" ht="18" customHeight="1">
      <c r="A30" s="472" t="n">
        <v>3</v>
      </c>
      <c r="B30" s="473" t="inlineStr">
        <is>
          <t>Tempat pakan (palungan) per ekor</t>
        </is>
      </c>
      <c r="C30" s="593" t="n">
        <v>10</v>
      </c>
      <c r="D30" s="472" t="inlineStr">
        <is>
          <t>unit</t>
        </is>
      </c>
      <c r="E30" s="183" t="n">
        <v>500000</v>
      </c>
      <c r="F30" s="184" t="n">
        <v>5000000</v>
      </c>
      <c r="G30" s="475" t="inlineStr">
        <is>
          <t>Beton atau kayu jati. Kapasitas 30kg jerami + 5kg konsentrat</t>
        </is>
      </c>
      <c r="H30" s="171" t="n"/>
      <c r="I30" s="171" t="n"/>
      <c r="J30" s="172" t="n"/>
    </row>
    <row r="31" ht="18" customHeight="1">
      <c r="A31" s="187" t="n">
        <v>4</v>
      </c>
      <c r="B31" s="188" t="inlineStr">
        <is>
          <t>Tempat minum otomatis (nipple waterer)</t>
        </is>
      </c>
      <c r="C31" s="594" t="n">
        <v>10</v>
      </c>
      <c r="D31" s="187" t="inlineStr">
        <is>
          <t>unit</t>
        </is>
      </c>
      <c r="E31" s="183" t="n">
        <v>300000</v>
      </c>
      <c r="F31" s="184" t="n">
        <v>3000000</v>
      </c>
      <c r="G31" s="190" t="inlineStr">
        <is>
          <t>Pastikan air selalu tersedia. Sapi minum 50–80L/hari</t>
        </is>
      </c>
      <c r="H31" s="171" t="n"/>
      <c r="I31" s="171" t="n"/>
      <c r="J31" s="172" t="n"/>
    </row>
    <row r="32" ht="18" customHeight="1">
      <c r="A32" s="472" t="n">
        <v>5</v>
      </c>
      <c r="B32" s="473" t="inlineStr">
        <is>
          <t>Instalasi air &amp; pipa kandang</t>
        </is>
      </c>
      <c r="C32" s="593" t="n">
        <v>1</v>
      </c>
      <c r="D32" s="472" t="inlineStr">
        <is>
          <t>paket</t>
        </is>
      </c>
      <c r="E32" s="183" t="n">
        <v>3000000</v>
      </c>
      <c r="F32" s="184" t="n">
        <v>3000000</v>
      </c>
      <c r="G32" s="475" t="inlineStr">
        <is>
          <t>Dari sumber air ke bak penampung + distribusi ke nipple</t>
        </is>
      </c>
      <c r="H32" s="171" t="n"/>
      <c r="I32" s="171" t="n"/>
      <c r="J32" s="172" t="n"/>
    </row>
    <row r="33" ht="18" customHeight="1">
      <c r="A33" s="187" t="n">
        <v>6</v>
      </c>
      <c r="B33" s="188" t="inlineStr">
        <is>
          <t>Saluran pembuangan kotoran (drainase)</t>
        </is>
      </c>
      <c r="C33" s="594" t="n">
        <v>1</v>
      </c>
      <c r="D33" s="187" t="inlineStr">
        <is>
          <t>paket</t>
        </is>
      </c>
      <c r="E33" s="183" t="n">
        <v>2000000</v>
      </c>
      <c r="F33" s="184" t="n">
        <v>2000000</v>
      </c>
      <c r="G33" s="190" t="inlineStr">
        <is>
          <t>Kotoran dialirkan ke biodigester/kompos pit</t>
        </is>
      </c>
      <c r="H33" s="171" t="n"/>
      <c r="I33" s="171" t="n"/>
      <c r="J33" s="172" t="n"/>
    </row>
    <row r="34" ht="18" customHeight="1">
      <c r="A34" s="472" t="n">
        <v>7</v>
      </c>
      <c r="B34" s="473" t="inlineStr">
        <is>
          <t>Biodigester kotoran sapi (2m³)</t>
        </is>
      </c>
      <c r="C34" s="593" t="n">
        <v>1</v>
      </c>
      <c r="D34" s="472" t="inlineStr">
        <is>
          <t>unit</t>
        </is>
      </c>
      <c r="E34" s="183" t="n">
        <v>5000000</v>
      </c>
      <c r="F34" s="184" t="n">
        <v>5000000</v>
      </c>
      <c r="G34" s="475" t="inlineStr">
        <is>
          <t>Gas metana → kompor dapur. Kotoran → pupuk organik premium</t>
        </is>
      </c>
      <c r="H34" s="171" t="n"/>
      <c r="I34" s="171" t="n"/>
      <c r="J34" s="172" t="n"/>
    </row>
    <row r="35" ht="18" customHeight="1">
      <c r="A35" s="187" t="n">
        <v>8</v>
      </c>
      <c r="B35" s="188" t="inlineStr">
        <is>
          <t>Gudang pakan (4×4m)</t>
        </is>
      </c>
      <c r="C35" s="594" t="n">
        <v>1</v>
      </c>
      <c r="D35" s="187" t="inlineStr">
        <is>
          <t>unit</t>
        </is>
      </c>
      <c r="E35" s="183" t="n">
        <v>8000000</v>
      </c>
      <c r="F35" s="184" t="n">
        <v>8000000</v>
      </c>
      <c r="G35" s="190" t="inlineStr">
        <is>
          <t>Simpan jerami kering &amp; konsentrat. Ventilasi baik</t>
        </is>
      </c>
      <c r="H35" s="171" t="n"/>
      <c r="I35" s="171" t="n"/>
      <c r="J35" s="172" t="n"/>
    </row>
    <row r="36" ht="18" customHeight="1">
      <c r="A36" s="472" t="n">
        <v>9</v>
      </c>
      <c r="B36" s="473" t="inlineStr">
        <is>
          <t>Lampu kandang + instalasi listrik</t>
        </is>
      </c>
      <c r="C36" s="593" t="n">
        <v>1</v>
      </c>
      <c r="D36" s="472" t="inlineStr">
        <is>
          <t>paket</t>
        </is>
      </c>
      <c r="E36" s="183" t="n">
        <v>2000000</v>
      </c>
      <c r="F36" s="184" t="n">
        <v>2000000</v>
      </c>
      <c r="G36" s="475" t="inlineStr">
        <is>
          <t>LED 10W, nyala malam untuk keamanan</t>
        </is>
      </c>
      <c r="H36" s="171" t="n"/>
      <c r="I36" s="171" t="n"/>
      <c r="J36" s="172" t="n"/>
    </row>
    <row r="37" ht="18" customHeight="1">
      <c r="A37" s="187" t="n">
        <v>10</v>
      </c>
      <c r="B37" s="188" t="inlineStr">
        <is>
          <t>Timbangan ternak (500kg kapasitas)</t>
        </is>
      </c>
      <c r="C37" s="594" t="n">
        <v>1</v>
      </c>
      <c r="D37" s="187" t="inlineStr">
        <is>
          <t>unit</t>
        </is>
      </c>
      <c r="E37" s="183" t="n">
        <v>3500000</v>
      </c>
      <c r="F37" s="184" t="n">
        <v>3500000</v>
      </c>
      <c r="G37" s="190" t="inlineStr">
        <is>
          <t>Timbang mingguan untuk monitoring ADG</t>
        </is>
      </c>
      <c r="H37" s="171" t="n"/>
      <c r="I37" s="171" t="n"/>
      <c r="J37" s="172" t="n"/>
    </row>
    <row r="38" ht="20" customHeight="1">
      <c r="A38" s="595" t="inlineStr">
        <is>
          <t xml:space="preserve">  ▶ SUBTOTAL: A. KANDANG &amp; INFRASTRUKTUR</t>
        </is>
      </c>
      <c r="B38" s="178" t="n"/>
      <c r="C38" s="178" t="n"/>
      <c r="D38" s="178" t="n"/>
      <c r="E38" s="178" t="n"/>
      <c r="F38" s="596" t="n">
        <v>71500000</v>
      </c>
      <c r="G38" s="597" t="n"/>
      <c r="H38" s="178" t="n"/>
      <c r="I38" s="178" t="n"/>
      <c r="J38" s="179" t="n"/>
    </row>
    <row r="39"/>
    <row r="40" ht="20" customHeight="1">
      <c r="A40" s="385" t="inlineStr">
        <is>
          <t xml:space="preserve">  B. PEMBELIAN BAKALAN (BIBIT SAPI)</t>
        </is>
      </c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2" t="n"/>
    </row>
    <row r="41" ht="26" customHeight="1">
      <c r="A41" s="589" t="inlineStr">
        <is>
          <t>No</t>
        </is>
      </c>
      <c r="B41" s="590" t="inlineStr">
        <is>
          <t>Uraian Item</t>
        </is>
      </c>
      <c r="C41" s="591" t="inlineStr">
        <is>
          <t>Vol</t>
        </is>
      </c>
      <c r="D41" s="591" t="inlineStr">
        <is>
          <t>Sat</t>
        </is>
      </c>
      <c r="E41" s="591" t="inlineStr">
        <is>
          <t>Harga Sat (Rp)</t>
        </is>
      </c>
      <c r="F41" s="591" t="inlineStr">
        <is>
          <t>Total (Rp)</t>
        </is>
      </c>
      <c r="G41" s="592" t="inlineStr">
        <is>
          <t>Ket.</t>
        </is>
      </c>
      <c r="H41" s="178" t="n"/>
      <c r="I41" s="178" t="n"/>
      <c r="J41" s="179" t="n"/>
    </row>
    <row r="42" ht="18" customHeight="1">
      <c r="A42" s="472" t="n">
        <v>1</v>
      </c>
      <c r="B42" s="481" t="inlineStr">
        <is>
          <t>Sapi bakalan Limosin/Simental muda (250–280kg/ekor)</t>
        </is>
      </c>
      <c r="C42" s="593" t="n">
        <v>10</v>
      </c>
      <c r="D42" s="472" t="inlineStr">
        <is>
          <t>ekor</t>
        </is>
      </c>
      <c r="E42" s="183" t="n">
        <v>14000000</v>
      </c>
      <c r="F42" s="184" t="n">
        <v>140000000</v>
      </c>
      <c r="G42" s="475" t="inlineStr">
        <is>
          <t>Beli dari pasar hewan terpercaya. Cek gigi, kulit, mata, uji kesehatan dulu</t>
        </is>
      </c>
      <c r="H42" s="171" t="n"/>
      <c r="I42" s="171" t="n"/>
      <c r="J42" s="172" t="n"/>
    </row>
    <row r="43" ht="18" customHeight="1">
      <c r="A43" s="187" t="n">
        <v>2</v>
      </c>
      <c r="B43" s="188" t="inlineStr">
        <is>
          <t>Biaya angkut sapi dari pasar hewan</t>
        </is>
      </c>
      <c r="C43" s="594" t="n">
        <v>10</v>
      </c>
      <c r="D43" s="187" t="inlineStr">
        <is>
          <t>ekor</t>
        </is>
      </c>
      <c r="E43" s="183" t="n">
        <v>200000</v>
      </c>
      <c r="F43" s="184" t="n">
        <v>2000000</v>
      </c>
      <c r="G43" s="190" t="inlineStr">
        <is>
          <t>Sewa truk ternak. Jangan campurkan dengan sapi sakit</t>
        </is>
      </c>
      <c r="H43" s="171" t="n"/>
      <c r="I43" s="171" t="n"/>
      <c r="J43" s="172" t="n"/>
    </row>
    <row r="44" ht="18" customHeight="1">
      <c r="A44" s="472" t="n">
        <v>3</v>
      </c>
      <c r="B44" s="473" t="inlineStr">
        <is>
          <t>Karantina awal 7 hari (isolasi)</t>
        </is>
      </c>
      <c r="C44" s="593" t="n">
        <v>1</v>
      </c>
      <c r="D44" s="472" t="inlineStr">
        <is>
          <t>paket</t>
        </is>
      </c>
      <c r="E44" s="183" t="n">
        <v>1000000</v>
      </c>
      <c r="F44" s="184" t="n">
        <v>1000000</v>
      </c>
      <c r="G44" s="475" t="inlineStr">
        <is>
          <t>Observasi kesehatan, deworming, vaksin sebelum masuk kandang utama</t>
        </is>
      </c>
      <c r="H44" s="171" t="n"/>
      <c r="I44" s="171" t="n"/>
      <c r="J44" s="172" t="n"/>
    </row>
    <row r="45" ht="20" customHeight="1">
      <c r="A45" s="595" t="inlineStr">
        <is>
          <t xml:space="preserve">  ▶ SUBTOTAL: B. PEMBELIAN BAKALAN (BIBIT SAPI)</t>
        </is>
      </c>
      <c r="B45" s="178" t="n"/>
      <c r="C45" s="178" t="n"/>
      <c r="D45" s="178" t="n"/>
      <c r="E45" s="178" t="n"/>
      <c r="F45" s="596" t="n">
        <v>143000000</v>
      </c>
      <c r="G45" s="597" t="n"/>
      <c r="H45" s="178" t="n"/>
      <c r="I45" s="178" t="n"/>
      <c r="J45" s="179" t="n"/>
    </row>
    <row r="46"/>
    <row r="47" ht="20" customHeight="1">
      <c r="A47" s="385" t="inlineStr">
        <is>
          <t xml:space="preserve">  C. PAKAN &amp; NUTRISI (180 HARI)</t>
        </is>
      </c>
      <c r="B47" s="171" t="n"/>
      <c r="C47" s="171" t="n"/>
      <c r="D47" s="171" t="n"/>
      <c r="E47" s="171" t="n"/>
      <c r="F47" s="171" t="n"/>
      <c r="G47" s="171" t="n"/>
      <c r="H47" s="171" t="n"/>
      <c r="I47" s="171" t="n"/>
      <c r="J47" s="172" t="n"/>
    </row>
    <row r="48" ht="26" customHeight="1">
      <c r="A48" s="589" t="inlineStr">
        <is>
          <t>No</t>
        </is>
      </c>
      <c r="B48" s="590" t="inlineStr">
        <is>
          <t>Uraian Item</t>
        </is>
      </c>
      <c r="C48" s="591" t="inlineStr">
        <is>
          <t>Vol</t>
        </is>
      </c>
      <c r="D48" s="591" t="inlineStr">
        <is>
          <t>Sat</t>
        </is>
      </c>
      <c r="E48" s="591" t="inlineStr">
        <is>
          <t>Harga Sat (Rp)</t>
        </is>
      </c>
      <c r="F48" s="591" t="inlineStr">
        <is>
          <t>Total (Rp)</t>
        </is>
      </c>
      <c r="G48" s="592" t="inlineStr">
        <is>
          <t>Ket.</t>
        </is>
      </c>
      <c r="H48" s="178" t="n"/>
      <c r="I48" s="178" t="n"/>
      <c r="J48" s="179" t="n"/>
    </row>
    <row r="49" ht="18" customHeight="1">
      <c r="A49" s="472" t="n">
        <v>1</v>
      </c>
      <c r="B49" s="473" t="inlineStr">
        <is>
          <t>Jerami padi / rumput gajah (8kg/ekor/hari × 10 ekor × 180 hari)</t>
        </is>
      </c>
      <c r="C49" s="593" t="n">
        <v>14400</v>
      </c>
      <c r="D49" s="472" t="inlineStr">
        <is>
          <t>kg</t>
        </is>
      </c>
      <c r="E49" s="183" t="n">
        <v>300</v>
      </c>
      <c r="F49" s="184" t="n">
        <v>4320000</v>
      </c>
      <c r="G49" s="475" t="inlineStr">
        <is>
          <t>Bisa dari petani padi sekitar. Rumput gajah tanam sendiri</t>
        </is>
      </c>
      <c r="H49" s="171" t="n"/>
      <c r="I49" s="171" t="n"/>
      <c r="J49" s="172" t="n"/>
    </row>
    <row r="50" ht="18" customHeight="1">
      <c r="A50" s="187" t="n">
        <v>2</v>
      </c>
      <c r="B50" s="188" t="inlineStr">
        <is>
          <t>Konsentrat sapi (3kg/ekor/hari × 10 × 180 hari)</t>
        </is>
      </c>
      <c r="C50" s="594" t="n">
        <v>5400</v>
      </c>
      <c r="D50" s="187" t="inlineStr">
        <is>
          <t>kg</t>
        </is>
      </c>
      <c r="E50" s="183" t="n">
        <v>3500</v>
      </c>
      <c r="F50" s="184" t="n">
        <v>18900000</v>
      </c>
      <c r="G50" s="190" t="inlineStr">
        <is>
          <t>PKC + dedak + molasses + mineral. Beli dari poultry shop</t>
        </is>
      </c>
      <c r="H50" s="171" t="n"/>
      <c r="I50" s="171" t="n"/>
      <c r="J50" s="172" t="n"/>
    </row>
    <row r="51" ht="18" customHeight="1">
      <c r="A51" s="472" t="n">
        <v>3</v>
      </c>
      <c r="B51" s="473" t="inlineStr">
        <is>
          <t>Molasses / tetes tebu (2% dari pakan)</t>
        </is>
      </c>
      <c r="C51" s="593" t="n">
        <v>300</v>
      </c>
      <c r="D51" s="472" t="inlineStr">
        <is>
          <t>kg</t>
        </is>
      </c>
      <c r="E51" s="183" t="n">
        <v>2500</v>
      </c>
      <c r="F51" s="184" t="n">
        <v>750000</v>
      </c>
      <c r="G51" s="475" t="inlineStr">
        <is>
          <t>Palatabilitas pakan, sumber energi cepat</t>
        </is>
      </c>
      <c r="H51" s="171" t="n"/>
      <c r="I51" s="171" t="n"/>
      <c r="J51" s="172" t="n"/>
    </row>
    <row r="52" ht="18" customHeight="1">
      <c r="A52" s="187" t="n">
        <v>4</v>
      </c>
      <c r="B52" s="188" t="inlineStr">
        <is>
          <t>Mineral block / garam mineral per ekor</t>
        </is>
      </c>
      <c r="C52" s="594" t="n">
        <v>10</v>
      </c>
      <c r="D52" s="187" t="inlineStr">
        <is>
          <t>blok</t>
        </is>
      </c>
      <c r="E52" s="183" t="n">
        <v>50000</v>
      </c>
      <c r="F52" s="184" t="n">
        <v>500000</v>
      </c>
      <c r="G52" s="190" t="inlineStr">
        <is>
          <t>Gantung di kandang. Ca, P, Mg, Zn untuk tulang &amp; produksi</t>
        </is>
      </c>
      <c r="H52" s="171" t="n"/>
      <c r="I52" s="171" t="n"/>
      <c r="J52" s="172" t="n"/>
    </row>
    <row r="53" ht="18" customHeight="1">
      <c r="A53" s="472" t="n">
        <v>5</v>
      </c>
      <c r="B53" s="473" t="inlineStr">
        <is>
          <t>Silase jagung (pakan fermentasi, bln 1–3)</t>
        </is>
      </c>
      <c r="C53" s="593" t="n">
        <v>2000</v>
      </c>
      <c r="D53" s="472" t="inlineStr">
        <is>
          <t>kg</t>
        </is>
      </c>
      <c r="E53" s="183" t="n">
        <v>1500</v>
      </c>
      <c r="F53" s="184" t="n">
        <v>3000000</v>
      </c>
      <c r="G53" s="475" t="inlineStr">
        <is>
          <t>Pakan bermutu tinggi untuk fase awal. Buat sendiri dari jagung lokal</t>
        </is>
      </c>
      <c r="H53" s="171" t="n"/>
      <c r="I53" s="171" t="n"/>
      <c r="J53" s="172" t="n"/>
    </row>
    <row r="54" ht="18" customHeight="1">
      <c r="A54" s="187" t="n">
        <v>6</v>
      </c>
      <c r="B54" s="188" t="inlineStr">
        <is>
          <t>Vitamin B kompleks + premix mineral (injeksi)</t>
        </is>
      </c>
      <c r="C54" s="594" t="n">
        <v>1</v>
      </c>
      <c r="D54" s="187" t="inlineStr">
        <is>
          <t>paket</t>
        </is>
      </c>
      <c r="E54" s="183" t="n">
        <v>1500000</v>
      </c>
      <c r="F54" s="184" t="n">
        <v>1500000</v>
      </c>
      <c r="G54" s="190" t="inlineStr">
        <is>
          <t>Tiap 30 hari. Dorong nafsu makan &amp; konversi pakan</t>
        </is>
      </c>
      <c r="H54" s="171" t="n"/>
      <c r="I54" s="171" t="n"/>
      <c r="J54" s="172" t="n"/>
    </row>
    <row r="55" ht="20" customHeight="1">
      <c r="A55" s="595" t="inlineStr">
        <is>
          <t xml:space="preserve">  ▶ SUBTOTAL: C. PAKAN &amp; NUTRISI (180 HARI)</t>
        </is>
      </c>
      <c r="B55" s="178" t="n"/>
      <c r="C55" s="178" t="n"/>
      <c r="D55" s="178" t="n"/>
      <c r="E55" s="178" t="n"/>
      <c r="F55" s="596" t="n">
        <v>28970000</v>
      </c>
      <c r="G55" s="597" t="n"/>
      <c r="H55" s="178" t="n"/>
      <c r="I55" s="178" t="n"/>
      <c r="J55" s="179" t="n"/>
    </row>
    <row r="56"/>
    <row r="57" ht="20" customHeight="1">
      <c r="A57" s="385" t="inlineStr">
        <is>
          <t xml:space="preserve">  D. KESEHATAN, VAKSIN &amp; PENGOBATAN</t>
        </is>
      </c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2" t="n"/>
    </row>
    <row r="58" ht="26" customHeight="1">
      <c r="A58" s="589" t="inlineStr">
        <is>
          <t>No</t>
        </is>
      </c>
      <c r="B58" s="590" t="inlineStr">
        <is>
          <t>Uraian Item</t>
        </is>
      </c>
      <c r="C58" s="591" t="inlineStr">
        <is>
          <t>Vol</t>
        </is>
      </c>
      <c r="D58" s="591" t="inlineStr">
        <is>
          <t>Sat</t>
        </is>
      </c>
      <c r="E58" s="591" t="inlineStr">
        <is>
          <t>Harga Sat (Rp)</t>
        </is>
      </c>
      <c r="F58" s="591" t="inlineStr">
        <is>
          <t>Total (Rp)</t>
        </is>
      </c>
      <c r="G58" s="592" t="inlineStr">
        <is>
          <t>Ket.</t>
        </is>
      </c>
      <c r="H58" s="178" t="n"/>
      <c r="I58" s="178" t="n"/>
      <c r="J58" s="179" t="n"/>
    </row>
    <row r="59" ht="18" customHeight="1">
      <c r="A59" s="472" t="n">
        <v>1</v>
      </c>
      <c r="B59" s="473" t="inlineStr">
        <is>
          <t>Vaksin Anthrax + Brucella (wajib)</t>
        </is>
      </c>
      <c r="C59" s="593" t="n">
        <v>10</v>
      </c>
      <c r="D59" s="472" t="inlineStr">
        <is>
          <t>ekor</t>
        </is>
      </c>
      <c r="E59" s="183" t="n">
        <v>50000</v>
      </c>
      <c r="F59" s="184" t="n">
        <v>500000</v>
      </c>
      <c r="G59" s="475" t="inlineStr">
        <is>
          <t>Minta jadwal ke Dinas Peternakan. Wajib untuk ternak besar</t>
        </is>
      </c>
      <c r="H59" s="171" t="n"/>
      <c r="I59" s="171" t="n"/>
      <c r="J59" s="172" t="n"/>
    </row>
    <row r="60" ht="18" customHeight="1">
      <c r="A60" s="187" t="n">
        <v>2</v>
      </c>
      <c r="B60" s="188" t="inlineStr">
        <is>
          <t>Vaksin SEP/BEF + Foot &amp; Mouth Disease</t>
        </is>
      </c>
      <c r="C60" s="594" t="n">
        <v>10</v>
      </c>
      <c r="D60" s="187" t="inlineStr">
        <is>
          <t>ekor</t>
        </is>
      </c>
      <c r="E60" s="183" t="n">
        <v>75000</v>
      </c>
      <c r="F60" s="184" t="n">
        <v>750000</v>
      </c>
      <c r="G60" s="190" t="inlineStr">
        <is>
          <t>Cek status FMD-free sebelum ekspor</t>
        </is>
      </c>
      <c r="H60" s="171" t="n"/>
      <c r="I60" s="171" t="n"/>
      <c r="J60" s="172" t="n"/>
    </row>
    <row r="61" ht="18" customHeight="1">
      <c r="A61" s="472" t="n">
        <v>3</v>
      </c>
      <c r="B61" s="473" t="inlineStr">
        <is>
          <t>Obat cacing (deworming awal + bln 3)</t>
        </is>
      </c>
      <c r="C61" s="593" t="n">
        <v>2</v>
      </c>
      <c r="D61" s="472" t="inlineStr">
        <is>
          <t>dosis/ekor</t>
        </is>
      </c>
      <c r="E61" s="183" t="n">
        <v>25000</v>
      </c>
      <c r="F61" s="184" t="n">
        <v>500000</v>
      </c>
      <c r="G61" s="475" t="inlineStr">
        <is>
          <t>10 ekor × 2 dosis. Cacingan = penurunan ADG signifikan</t>
        </is>
      </c>
      <c r="H61" s="171" t="n"/>
      <c r="I61" s="171" t="n"/>
      <c r="J61" s="172" t="n"/>
    </row>
    <row r="62" ht="18" customHeight="1">
      <c r="A62" s="187" t="n">
        <v>4</v>
      </c>
      <c r="B62" s="188" t="inlineStr">
        <is>
          <t>Antibiotik suntik (Oxytetracycline) cadangan</t>
        </is>
      </c>
      <c r="C62" s="594" t="n">
        <v>1</v>
      </c>
      <c r="D62" s="187" t="inlineStr">
        <is>
          <t>paket</t>
        </is>
      </c>
      <c r="E62" s="183" t="n">
        <v>500000</v>
      </c>
      <c r="F62" s="184" t="n">
        <v>500000</v>
      </c>
      <c r="G62" s="190" t="inlineStr">
        <is>
          <t>Stok untuk infeksi mendadak. Simpan di kulkas</t>
        </is>
      </c>
      <c r="H62" s="171" t="n"/>
      <c r="I62" s="171" t="n"/>
      <c r="J62" s="172" t="n"/>
    </row>
    <row r="63" ht="18" customHeight="1">
      <c r="A63" s="472" t="n">
        <v>5</v>
      </c>
      <c r="B63" s="473" t="inlineStr">
        <is>
          <t>Antiseptik, perban, obat luka</t>
        </is>
      </c>
      <c r="C63" s="593" t="n">
        <v>1</v>
      </c>
      <c r="D63" s="472" t="inlineStr">
        <is>
          <t>paket</t>
        </is>
      </c>
      <c r="E63" s="183" t="n">
        <v>300000</v>
      </c>
      <c r="F63" s="184" t="n">
        <v>300000</v>
      </c>
      <c r="G63" s="475" t="inlineStr">
        <is>
          <t>P3K kandang</t>
        </is>
      </c>
      <c r="H63" s="171" t="n"/>
      <c r="I63" s="171" t="n"/>
      <c r="J63" s="172" t="n"/>
    </row>
    <row r="64" ht="18" customHeight="1">
      <c r="A64" s="187" t="n">
        <v>6</v>
      </c>
      <c r="B64" s="188" t="inlineStr">
        <is>
          <t>Jasa dokter hewan / mantri (6 kunjungan)</t>
        </is>
      </c>
      <c r="C64" s="594" t="n">
        <v>6</v>
      </c>
      <c r="D64" s="187" t="inlineStr">
        <is>
          <t>kunjungan</t>
        </is>
      </c>
      <c r="E64" s="183" t="n">
        <v>200000</v>
      </c>
      <c r="F64" s="184" t="n">
        <v>1200000</v>
      </c>
      <c r="G64" s="190" t="inlineStr">
        <is>
          <t>Kunjungan bulanan + darurat. Jalin hubungan baik dengan Dinas</t>
        </is>
      </c>
      <c r="H64" s="171" t="n"/>
      <c r="I64" s="171" t="n"/>
      <c r="J64" s="172" t="n"/>
    </row>
    <row r="65" ht="20" customHeight="1">
      <c r="A65" s="595" t="inlineStr">
        <is>
          <t xml:space="preserve">  ▶ SUBTOTAL: D. KESEHATAN, VAKSIN &amp; PENGOBATAN</t>
        </is>
      </c>
      <c r="B65" s="178" t="n"/>
      <c r="C65" s="178" t="n"/>
      <c r="D65" s="178" t="n"/>
      <c r="E65" s="178" t="n"/>
      <c r="F65" s="596" t="n">
        <v>3750000</v>
      </c>
      <c r="G65" s="597" t="n"/>
      <c r="H65" s="178" t="n"/>
      <c r="I65" s="178" t="n"/>
      <c r="J65" s="179" t="n"/>
    </row>
    <row r="66"/>
    <row r="67" ht="20" customHeight="1">
      <c r="A67" s="385" t="inlineStr">
        <is>
          <t xml:space="preserve">  E. TENAGA KERJA — SISTEM ADVANCE</t>
        </is>
      </c>
      <c r="B67" s="171" t="n"/>
      <c r="C67" s="171" t="n"/>
      <c r="D67" s="171" t="n"/>
      <c r="E67" s="171" t="n"/>
      <c r="F67" s="171" t="n"/>
      <c r="G67" s="171" t="n"/>
      <c r="H67" s="171" t="n"/>
      <c r="I67" s="171" t="n"/>
      <c r="J67" s="172" t="n"/>
    </row>
    <row r="68" ht="26" customHeight="1">
      <c r="A68" s="589" t="inlineStr">
        <is>
          <t>No</t>
        </is>
      </c>
      <c r="B68" s="590" t="inlineStr">
        <is>
          <t>Uraian Item</t>
        </is>
      </c>
      <c r="C68" s="591" t="inlineStr">
        <is>
          <t>Vol</t>
        </is>
      </c>
      <c r="D68" s="591" t="inlineStr">
        <is>
          <t>Sat</t>
        </is>
      </c>
      <c r="E68" s="591" t="inlineStr">
        <is>
          <t>Harga Sat (Rp)</t>
        </is>
      </c>
      <c r="F68" s="591" t="inlineStr">
        <is>
          <t>Total (Rp)</t>
        </is>
      </c>
      <c r="G68" s="592" t="inlineStr">
        <is>
          <t>Ket.</t>
        </is>
      </c>
      <c r="H68" s="178" t="n"/>
      <c r="I68" s="178" t="n"/>
      <c r="J68" s="179" t="n"/>
    </row>
    <row r="69" ht="18" customHeight="1">
      <c r="A69" s="390" t="n">
        <v>1</v>
      </c>
      <c r="B69" s="408" t="inlineStr">
        <is>
          <t>Penjaga/perawat kandang (1 org full time × 6 bln)</t>
        </is>
      </c>
      <c r="C69" s="598" t="n">
        <v>6</v>
      </c>
      <c r="D69" s="390" t="inlineStr">
        <is>
          <t>bln</t>
        </is>
      </c>
      <c r="E69" s="183" t="n">
        <v>2500000</v>
      </c>
      <c r="F69" s="401" t="n">
        <v>15000000</v>
      </c>
      <c r="G69" s="394" t="inlineStr">
        <is>
          <t>ADVANCE. Kasih makan pagi-sore, bersih kandang, pantau kesehatan</t>
        </is>
      </c>
      <c r="H69" s="171" t="n"/>
      <c r="I69" s="171" t="n"/>
      <c r="J69" s="172" t="n"/>
    </row>
    <row r="70" ht="18" customHeight="1">
      <c r="A70" s="390" t="n">
        <v>2</v>
      </c>
      <c r="B70" s="476" t="inlineStr">
        <is>
          <t>Tenaga kebersihan kandang (1 org × 6 bln, part time)</t>
        </is>
      </c>
      <c r="C70" s="598" t="n">
        <v>6</v>
      </c>
      <c r="D70" s="390" t="inlineStr">
        <is>
          <t>bln</t>
        </is>
      </c>
      <c r="E70" s="183" t="n">
        <v>1000000</v>
      </c>
      <c r="F70" s="401" t="n">
        <v>6000000</v>
      </c>
      <c r="G70" s="394" t="inlineStr">
        <is>
          <t>ADVANCE. Bersih kotoran 2× sehari. Kotoran → biodigester</t>
        </is>
      </c>
      <c r="H70" s="171" t="n"/>
      <c r="I70" s="171" t="n"/>
      <c r="J70" s="172" t="n"/>
    </row>
    <row r="71" ht="18" customHeight="1">
      <c r="A71" s="390" t="n">
        <v>3</v>
      </c>
      <c r="B71" s="476" t="inlineStr">
        <is>
          <t>Koordinator ternak / supervisor (6 bln)</t>
        </is>
      </c>
      <c r="C71" s="598" t="n">
        <v>6</v>
      </c>
      <c r="D71" s="390" t="inlineStr">
        <is>
          <t>bln</t>
        </is>
      </c>
      <c r="E71" s="183" t="n">
        <v>500000</v>
      </c>
      <c r="F71" s="401" t="n">
        <v>3000000</v>
      </c>
      <c r="G71" s="394" t="inlineStr">
        <is>
          <t>ADVANCE. Timbang mingguan, laporan ADG, koordinasi pakan</t>
        </is>
      </c>
      <c r="H71" s="171" t="n"/>
      <c r="I71" s="171" t="n"/>
      <c r="J71" s="172" t="n"/>
    </row>
    <row r="72" ht="20" customHeight="1">
      <c r="A72" s="595" t="inlineStr">
        <is>
          <t xml:space="preserve">  ▶ SUBTOTAL: E. TENAGA KERJA — SISTEM ADVANCE</t>
        </is>
      </c>
      <c r="B72" s="178" t="n"/>
      <c r="C72" s="178" t="n"/>
      <c r="D72" s="178" t="n"/>
      <c r="E72" s="178" t="n"/>
      <c r="F72" s="596" t="n">
        <v>24000000</v>
      </c>
      <c r="G72" s="597" t="n"/>
      <c r="H72" s="178" t="n"/>
      <c r="I72" s="178" t="n"/>
      <c r="J72" s="179" t="n"/>
    </row>
    <row r="73"/>
    <row r="74" ht="20" customHeight="1">
      <c r="A74" s="385" t="inlineStr">
        <is>
          <t xml:space="preserve">  F. PASCA PANEN (PEMOTONGAN &amp; DISTRIBUSI)</t>
        </is>
      </c>
      <c r="B74" s="171" t="n"/>
      <c r="C74" s="171" t="n"/>
      <c r="D74" s="171" t="n"/>
      <c r="E74" s="171" t="n"/>
      <c r="F74" s="171" t="n"/>
      <c r="G74" s="171" t="n"/>
      <c r="H74" s="171" t="n"/>
      <c r="I74" s="171" t="n"/>
      <c r="J74" s="172" t="n"/>
    </row>
    <row r="75" ht="26" customHeight="1">
      <c r="A75" s="589" t="inlineStr">
        <is>
          <t>No</t>
        </is>
      </c>
      <c r="B75" s="590" t="inlineStr">
        <is>
          <t>Uraian Item</t>
        </is>
      </c>
      <c r="C75" s="591" t="inlineStr">
        <is>
          <t>Vol</t>
        </is>
      </c>
      <c r="D75" s="591" t="inlineStr">
        <is>
          <t>Sat</t>
        </is>
      </c>
      <c r="E75" s="591" t="inlineStr">
        <is>
          <t>Harga Sat (Rp)</t>
        </is>
      </c>
      <c r="F75" s="591" t="inlineStr">
        <is>
          <t>Total (Rp)</t>
        </is>
      </c>
      <c r="G75" s="592" t="inlineStr">
        <is>
          <t>Ket.</t>
        </is>
      </c>
      <c r="H75" s="178" t="n"/>
      <c r="I75" s="178" t="n"/>
      <c r="J75" s="179" t="n"/>
    </row>
    <row r="76" ht="18" customHeight="1">
      <c r="A76" s="472" t="n">
        <v>1</v>
      </c>
      <c r="B76" s="473" t="inlineStr">
        <is>
          <t>Biaya RPH (Rumah Potong Hewan) per ekor</t>
        </is>
      </c>
      <c r="C76" s="593" t="n">
        <v>10</v>
      </c>
      <c r="D76" s="472" t="inlineStr">
        <is>
          <t>ekor</t>
        </is>
      </c>
      <c r="E76" s="183" t="n">
        <v>500000</v>
      </c>
      <c r="F76" s="184" t="n">
        <v>5000000</v>
      </c>
      <c r="G76" s="475" t="inlineStr">
        <is>
          <t>RPH resmi bersertifikat halal. Cek jadwal seminggu sebelum</t>
        </is>
      </c>
      <c r="H76" s="171" t="n"/>
      <c r="I76" s="171" t="n"/>
      <c r="J76" s="172" t="n"/>
    </row>
    <row r="77" ht="18" customHeight="1">
      <c r="A77" s="187" t="n">
        <v>2</v>
      </c>
      <c r="B77" s="188" t="inlineStr">
        <is>
          <t>Biaya angkut sapi ke RPH</t>
        </is>
      </c>
      <c r="C77" s="594" t="n">
        <v>10</v>
      </c>
      <c r="D77" s="187" t="inlineStr">
        <is>
          <t>ekor</t>
        </is>
      </c>
      <c r="E77" s="183" t="n">
        <v>150000</v>
      </c>
      <c r="F77" s="184" t="n">
        <v>1500000</v>
      </c>
      <c r="G77" s="190" t="inlineStr">
        <is>
          <t>Sewa truk ternak kembali</t>
        </is>
      </c>
      <c r="H77" s="171" t="n"/>
      <c r="I77" s="171" t="n"/>
      <c r="J77" s="172" t="n"/>
    </row>
    <row r="78" ht="18" customHeight="1">
      <c r="A78" s="472" t="n">
        <v>3</v>
      </c>
      <c r="B78" s="473" t="inlineStr">
        <is>
          <t>Packaging &amp; distribusi daging (local)</t>
        </is>
      </c>
      <c r="C78" s="593" t="n">
        <v>1</v>
      </c>
      <c r="D78" s="472" t="inlineStr">
        <is>
          <t>paket</t>
        </is>
      </c>
      <c r="E78" s="183" t="n">
        <v>2000000</v>
      </c>
      <c r="F78" s="184" t="n">
        <v>2000000</v>
      </c>
      <c r="G78" s="475" t="inlineStr">
        <is>
          <t>Plastik vacuum + label halal + cooler box distribusi</t>
        </is>
      </c>
      <c r="H78" s="171" t="n"/>
      <c r="I78" s="171" t="n"/>
      <c r="J78" s="172" t="n"/>
    </row>
    <row r="79" ht="18" customHeight="1">
      <c r="A79" s="187" t="n">
        <v>4</v>
      </c>
      <c r="B79" s="188" t="inlineStr">
        <is>
          <t>Administrasi &amp; dokumen penjualan</t>
        </is>
      </c>
      <c r="C79" s="594" t="n">
        <v>1</v>
      </c>
      <c r="D79" s="187" t="inlineStr">
        <is>
          <t>paket</t>
        </is>
      </c>
      <c r="E79" s="183" t="n">
        <v>500000</v>
      </c>
      <c r="F79" s="184" t="n">
        <v>500000</v>
      </c>
      <c r="G79" s="190" t="inlineStr">
        <is>
          <t>Kwitansi, surat keterangan sehat ternak, invoice</t>
        </is>
      </c>
      <c r="H79" s="171" t="n"/>
      <c r="I79" s="171" t="n"/>
      <c r="J79" s="172" t="n"/>
    </row>
    <row r="80" ht="20" customHeight="1">
      <c r="A80" s="595" t="inlineStr">
        <is>
          <t xml:space="preserve">  ▶ SUBTOTAL: F. PASCA PANEN (PEMOTONGAN &amp; DISTRIBUSI)</t>
        </is>
      </c>
      <c r="B80" s="178" t="n"/>
      <c r="C80" s="178" t="n"/>
      <c r="D80" s="178" t="n"/>
      <c r="E80" s="178" t="n"/>
      <c r="F80" s="596" t="n">
        <v>9000000</v>
      </c>
      <c r="G80" s="597" t="n"/>
      <c r="H80" s="178" t="n"/>
      <c r="I80" s="178" t="n"/>
      <c r="J80" s="179" t="n"/>
    </row>
    <row r="81"/>
    <row r="82" ht="34" customHeight="1">
      <c r="A82" s="482" t="inlineStr">
        <is>
          <t xml:space="preserve">  🏆 GRAND TOTAL RAB — SAPI PENGGEMUKAN 10 EKOR</t>
        </is>
      </c>
      <c r="B82" s="200" t="n"/>
      <c r="C82" s="200" t="n"/>
      <c r="D82" s="200" t="n"/>
      <c r="E82" s="200" t="n"/>
      <c r="F82" s="483" t="n">
        <v>280220000</v>
      </c>
      <c r="G82" s="484" t="inlineStr">
        <is>
          <t>ROI total: 108.8% | Donatur return: 19.8% | Bonus tenaga: Rp 198,000,000</t>
        </is>
      </c>
      <c r="H82" s="200" t="n"/>
      <c r="I82" s="200" t="n"/>
      <c r="J82" s="203" t="n"/>
    </row>
  </sheetData>
  <mergeCells count="95">
    <mergeCell ref="A17:G17"/>
    <mergeCell ref="G55:J55"/>
    <mergeCell ref="A45:E45"/>
    <mergeCell ref="H17:J17"/>
    <mergeCell ref="A19:G19"/>
    <mergeCell ref="H11:J11"/>
    <mergeCell ref="G32:J32"/>
    <mergeCell ref="A65:E65"/>
    <mergeCell ref="A9:G9"/>
    <mergeCell ref="G72:J72"/>
    <mergeCell ref="H19:J19"/>
    <mergeCell ref="G71:J71"/>
    <mergeCell ref="A11:G11"/>
    <mergeCell ref="H5:J5"/>
    <mergeCell ref="G82:J82"/>
    <mergeCell ref="G53:J53"/>
    <mergeCell ref="A21:G21"/>
    <mergeCell ref="G34:J34"/>
    <mergeCell ref="G68:J68"/>
    <mergeCell ref="G58:J58"/>
    <mergeCell ref="H21:J21"/>
    <mergeCell ref="A23:G23"/>
    <mergeCell ref="A8:G8"/>
    <mergeCell ref="G29:J29"/>
    <mergeCell ref="A4:J4"/>
    <mergeCell ref="A10:G10"/>
    <mergeCell ref="H7:J7"/>
    <mergeCell ref="G44:J44"/>
    <mergeCell ref="H16:J16"/>
    <mergeCell ref="G75:J75"/>
    <mergeCell ref="G31:J31"/>
    <mergeCell ref="A40:J40"/>
    <mergeCell ref="A67:J67"/>
    <mergeCell ref="G77:J77"/>
    <mergeCell ref="A80:E80"/>
    <mergeCell ref="G61:J61"/>
    <mergeCell ref="A55:E55"/>
    <mergeCell ref="G70:J70"/>
    <mergeCell ref="G48:J48"/>
    <mergeCell ref="G38:J38"/>
    <mergeCell ref="H20:J20"/>
    <mergeCell ref="G62:J62"/>
    <mergeCell ref="A38:E38"/>
    <mergeCell ref="G49:J49"/>
    <mergeCell ref="A12:G12"/>
    <mergeCell ref="A2:J2"/>
    <mergeCell ref="G33:J33"/>
    <mergeCell ref="G65:J65"/>
    <mergeCell ref="A5:G5"/>
    <mergeCell ref="A47:J47"/>
    <mergeCell ref="A14:G14"/>
    <mergeCell ref="G35:J35"/>
    <mergeCell ref="A82:E82"/>
    <mergeCell ref="G76:J76"/>
    <mergeCell ref="G60:J60"/>
    <mergeCell ref="A24:G24"/>
    <mergeCell ref="G59:J59"/>
    <mergeCell ref="H15:J15"/>
    <mergeCell ref="H24:J24"/>
    <mergeCell ref="H18:J18"/>
    <mergeCell ref="H8:J8"/>
    <mergeCell ref="A16:G16"/>
    <mergeCell ref="G37:J37"/>
    <mergeCell ref="H10:J10"/>
    <mergeCell ref="A18:G18"/>
    <mergeCell ref="G78:J78"/>
    <mergeCell ref="A72:E72"/>
    <mergeCell ref="A74:J74"/>
    <mergeCell ref="H9:J9"/>
    <mergeCell ref="G80:J80"/>
    <mergeCell ref="G64:J64"/>
    <mergeCell ref="G79:J79"/>
    <mergeCell ref="G51:J51"/>
    <mergeCell ref="A20:G20"/>
    <mergeCell ref="G54:J54"/>
    <mergeCell ref="G63:J63"/>
    <mergeCell ref="G41:J41"/>
    <mergeCell ref="G50:J50"/>
    <mergeCell ref="G43:J43"/>
    <mergeCell ref="G52:J52"/>
    <mergeCell ref="H12:J12"/>
    <mergeCell ref="A15:G15"/>
    <mergeCell ref="G27:J27"/>
    <mergeCell ref="G36:J36"/>
    <mergeCell ref="G42:J42"/>
    <mergeCell ref="A1:J1"/>
    <mergeCell ref="H14:J14"/>
    <mergeCell ref="H23:J23"/>
    <mergeCell ref="A7:G7"/>
    <mergeCell ref="G28:J28"/>
    <mergeCell ref="G69:J69"/>
    <mergeCell ref="G30:J30"/>
    <mergeCell ref="A26:J26"/>
    <mergeCell ref="A57:J57"/>
    <mergeCell ref="G45:J4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2" customWidth="1" min="8" max="8"/>
    <col width="8" customWidth="1" min="9" max="9"/>
    <col width="8" customWidth="1" min="10" max="10"/>
  </cols>
  <sheetData>
    <row r="1" ht="44" customHeight="1">
      <c r="A1" s="599" t="inlineStr">
        <is>
          <t>🐷 PAKET INVESTASI — BABI PENGGEMUKAN  |  10 EKOR PENGGEMUKAN</t>
        </is>
      </c>
    </row>
    <row r="2" ht="18" customHeight="1">
      <c r="A2" s="169" t="inlineStr">
        <is>
          <t>Durasi: 4–5 Bulan (150 hari)  ·  BB awal: 22kg/ekor  ·  BB target: 110kg/ekor  ·  ADG: 580g/hari</t>
        </is>
      </c>
    </row>
    <row r="3"/>
    <row r="4">
      <c r="A4" s="173" t="inlineStr">
        <is>
          <t>📊 RINGKASAN INVESTASI &amp; PROYEKSI KEUNTUNGAN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2" t="n"/>
    </row>
    <row r="5" ht="20" customHeight="1">
      <c r="A5" s="600" t="inlineStr">
        <is>
          <t xml:space="preserve">  TOTAL INVESTASI (RAB Lengkap)</t>
        </is>
      </c>
      <c r="B5" s="171" t="n"/>
      <c r="C5" s="171" t="n"/>
      <c r="D5" s="171" t="n"/>
      <c r="E5" s="171" t="n"/>
      <c r="F5" s="171" t="n"/>
      <c r="G5" s="171" t="n"/>
      <c r="H5" s="601" t="n">
        <v>133960000</v>
      </c>
      <c r="I5" s="171" t="n"/>
      <c r="J5" s="172" t="n"/>
    </row>
    <row r="6"/>
    <row r="7" ht="20" customHeight="1">
      <c r="A7" s="585" t="inlineStr">
        <is>
          <t xml:space="preserve">  Berat Badan Awal — 10 ekor × 22kg</t>
        </is>
      </c>
      <c r="B7" s="171" t="n"/>
      <c r="C7" s="171" t="n"/>
      <c r="D7" s="171" t="n"/>
      <c r="E7" s="171" t="n"/>
      <c r="F7" s="171" t="n"/>
      <c r="G7" s="171" t="n"/>
      <c r="H7" s="586" t="inlineStr">
        <is>
          <t>220 kg</t>
        </is>
      </c>
      <c r="I7" s="171" t="n"/>
      <c r="J7" s="172" t="n"/>
    </row>
    <row r="8" ht="20" customHeight="1">
      <c r="A8" s="585" t="inlineStr">
        <is>
          <t xml:space="preserve">  Berat Badan Target Panen — 10 ekor × 110kg</t>
        </is>
      </c>
      <c r="B8" s="171" t="n"/>
      <c r="C8" s="171" t="n"/>
      <c r="D8" s="171" t="n"/>
      <c r="E8" s="171" t="n"/>
      <c r="F8" s="171" t="n"/>
      <c r="G8" s="171" t="n"/>
      <c r="H8" s="586" t="inlineStr">
        <is>
          <t>1,100 kg</t>
        </is>
      </c>
      <c r="I8" s="171" t="n"/>
      <c r="J8" s="172" t="n"/>
    </row>
    <row r="9" ht="20" customHeight="1">
      <c r="A9" s="364" t="inlineStr">
        <is>
          <t xml:space="preserve">  Total Pertambahan BB</t>
        </is>
      </c>
      <c r="B9" s="171" t="n"/>
      <c r="C9" s="171" t="n"/>
      <c r="D9" s="171" t="n"/>
      <c r="E9" s="171" t="n"/>
      <c r="F9" s="171" t="n"/>
      <c r="G9" s="171" t="n"/>
      <c r="H9" s="587" t="inlineStr">
        <is>
          <t>880 kg</t>
        </is>
      </c>
      <c r="I9" s="171" t="n"/>
      <c r="J9" s="172" t="n"/>
    </row>
    <row r="10" ht="20" customHeight="1">
      <c r="A10" s="466" t="inlineStr">
        <is>
          <t xml:space="preserve">  Harga Jual bobot hidup / karkas 60% Rp 45,000/kg</t>
        </is>
      </c>
      <c r="B10" s="171" t="n"/>
      <c r="C10" s="171" t="n"/>
      <c r="D10" s="171" t="n"/>
      <c r="E10" s="171" t="n"/>
      <c r="F10" s="171" t="n"/>
      <c r="G10" s="171" t="n"/>
      <c r="H10" s="467" t="n">
        <v>49500000</v>
      </c>
      <c r="I10" s="171" t="n"/>
      <c r="J10" s="172" t="n"/>
    </row>
    <row r="11" ht="20" customHeight="1">
      <c r="A11" s="366" t="inlineStr">
        <is>
          <t xml:space="preserve">  Potong Kebutuhan Dapur Yayasan</t>
        </is>
      </c>
      <c r="B11" s="171" t="n"/>
      <c r="C11" s="171" t="n"/>
      <c r="D11" s="171" t="n"/>
      <c r="E11" s="171" t="n"/>
      <c r="F11" s="171" t="n"/>
      <c r="G11" s="171" t="n"/>
      <c r="H11" s="367" t="inlineStr">
        <is>
          <t>(Rp 15,000,000)</t>
        </is>
      </c>
      <c r="I11" s="171" t="n"/>
      <c r="J11" s="172" t="n"/>
    </row>
    <row r="12" ht="20" customHeight="1">
      <c r="A12" s="368" t="inlineStr">
        <is>
          <t xml:space="preserve">  SISA BERSIH (DASAR BAGI HASIL)</t>
        </is>
      </c>
      <c r="B12" s="171" t="n"/>
      <c r="C12" s="171" t="n"/>
      <c r="D12" s="171" t="n"/>
      <c r="E12" s="171" t="n"/>
      <c r="F12" s="171" t="n"/>
      <c r="G12" s="171" t="n"/>
      <c r="H12" s="369" t="n">
        <v>34500000</v>
      </c>
      <c r="I12" s="171" t="n"/>
      <c r="J12" s="172" t="n"/>
    </row>
    <row r="13"/>
    <row r="14" ht="20" customHeight="1">
      <c r="A14" s="370" t="inlineStr">
        <is>
          <t xml:space="preserve">  🏛️ Yayasan 40%</t>
        </is>
      </c>
      <c r="B14" s="171" t="n"/>
      <c r="C14" s="171" t="n"/>
      <c r="D14" s="171" t="n"/>
      <c r="E14" s="171" t="n"/>
      <c r="F14" s="171" t="n"/>
      <c r="G14" s="171" t="n"/>
      <c r="H14" s="371" t="n">
        <v>13800000</v>
      </c>
      <c r="I14" s="171" t="n"/>
      <c r="J14" s="172" t="n"/>
    </row>
    <row r="15" ht="20" customHeight="1">
      <c r="A15" s="372" t="inlineStr">
        <is>
          <t xml:space="preserve">  💰 Donatur 10%</t>
        </is>
      </c>
      <c r="B15" s="171" t="n"/>
      <c r="C15" s="171" t="n"/>
      <c r="D15" s="171" t="n"/>
      <c r="E15" s="171" t="n"/>
      <c r="F15" s="171" t="n"/>
      <c r="G15" s="171" t="n"/>
      <c r="H15" s="373" t="n">
        <v>3450000</v>
      </c>
      <c r="I15" s="171" t="n"/>
      <c r="J15" s="172" t="n"/>
    </row>
    <row r="16" ht="20" customHeight="1">
      <c r="A16" s="374" t="inlineStr">
        <is>
          <t xml:space="preserve">    → ROI Donatur</t>
        </is>
      </c>
      <c r="B16" s="171" t="n"/>
      <c r="C16" s="171" t="n"/>
      <c r="D16" s="171" t="n"/>
      <c r="E16" s="171" t="n"/>
      <c r="F16" s="171" t="n"/>
      <c r="G16" s="171" t="n"/>
      <c r="H16" s="375" t="inlineStr">
        <is>
          <t>2.6%</t>
        </is>
      </c>
      <c r="I16" s="171" t="n"/>
      <c r="J16" s="172" t="n"/>
    </row>
    <row r="17" ht="20" customHeight="1">
      <c r="A17" s="366" t="inlineStr">
        <is>
          <t xml:space="preserve">  👷 Tenaga Lokal 40%</t>
        </is>
      </c>
      <c r="B17" s="171" t="n"/>
      <c r="C17" s="171" t="n"/>
      <c r="D17" s="171" t="n"/>
      <c r="E17" s="171" t="n"/>
      <c r="F17" s="171" t="n"/>
      <c r="G17" s="171" t="n"/>
      <c r="H17" s="376" t="n">
        <v>13800000</v>
      </c>
      <c r="I17" s="171" t="n"/>
      <c r="J17" s="172" t="n"/>
    </row>
    <row r="18" ht="20" customHeight="1">
      <c r="A18" s="377" t="inlineStr">
        <is>
          <t xml:space="preserve">    → Advance gaji dibayar</t>
        </is>
      </c>
      <c r="B18" s="171" t="n"/>
      <c r="C18" s="171" t="n"/>
      <c r="D18" s="171" t="n"/>
      <c r="E18" s="171" t="n"/>
      <c r="F18" s="171" t="n"/>
      <c r="G18" s="171" t="n"/>
      <c r="H18" s="378" t="inlineStr">
        <is>
          <t>(Rp 20,000,000)</t>
        </is>
      </c>
      <c r="I18" s="171" t="n"/>
      <c r="J18" s="172" t="n"/>
    </row>
    <row r="19" ht="20" customHeight="1">
      <c r="A19" s="379" t="inlineStr">
        <is>
          <t xml:space="preserve">    → BONUS PANEN tunai</t>
        </is>
      </c>
      <c r="B19" s="171" t="n"/>
      <c r="C19" s="171" t="n"/>
      <c r="D19" s="171" t="n"/>
      <c r="E19" s="171" t="n"/>
      <c r="F19" s="171" t="n"/>
      <c r="G19" s="171" t="n"/>
      <c r="H19" s="380" t="n">
        <v>0</v>
      </c>
      <c r="I19" s="171" t="n"/>
      <c r="J19" s="172" t="n"/>
    </row>
    <row r="20" ht="20" customHeight="1">
      <c r="A20" s="381" t="inlineStr">
        <is>
          <t xml:space="preserve">  👦 Anak Binaan avg 3%</t>
        </is>
      </c>
      <c r="B20" s="171" t="n"/>
      <c r="C20" s="171" t="n"/>
      <c r="D20" s="171" t="n"/>
      <c r="E20" s="171" t="n"/>
      <c r="F20" s="171" t="n"/>
      <c r="G20" s="171" t="n"/>
      <c r="H20" s="382" t="n">
        <v>1035000</v>
      </c>
      <c r="I20" s="171" t="n"/>
      <c r="J20" s="172" t="n"/>
    </row>
    <row r="21" ht="20" customHeight="1">
      <c r="A21" s="383" t="inlineStr">
        <is>
          <t xml:space="preserve">  🎯 Fee Manajemen 10%</t>
        </is>
      </c>
      <c r="B21" s="171" t="n"/>
      <c r="C21" s="171" t="n"/>
      <c r="D21" s="171" t="n"/>
      <c r="E21" s="171" t="n"/>
      <c r="F21" s="171" t="n"/>
      <c r="G21" s="171" t="n"/>
      <c r="H21" s="384" t="n">
        <v>3450000</v>
      </c>
      <c r="I21" s="171" t="n"/>
      <c r="J21" s="172" t="n"/>
    </row>
    <row r="22"/>
    <row r="23" ht="20" customHeight="1">
      <c r="A23" s="602" t="inlineStr">
        <is>
          <t xml:space="preserve">  PROFIT BRUTO (Revenue − Modal)</t>
        </is>
      </c>
      <c r="B23" s="171" t="n"/>
      <c r="C23" s="171" t="n"/>
      <c r="D23" s="171" t="n"/>
      <c r="E23" s="171" t="n"/>
      <c r="F23" s="171" t="n"/>
      <c r="G23" s="171" t="n"/>
      <c r="H23" s="603" t="n">
        <v>-84460000</v>
      </c>
      <c r="I23" s="171" t="n"/>
      <c r="J23" s="172" t="n"/>
    </row>
    <row r="24" ht="20" customHeight="1">
      <c r="A24" s="602" t="inlineStr">
        <is>
          <t xml:space="preserve">  ROI Total</t>
        </is>
      </c>
      <c r="B24" s="171" t="n"/>
      <c r="C24" s="171" t="n"/>
      <c r="D24" s="171" t="n"/>
      <c r="E24" s="171" t="n"/>
      <c r="F24" s="171" t="n"/>
      <c r="G24" s="171" t="n"/>
      <c r="H24" s="604" t="inlineStr">
        <is>
          <t>-63.0%</t>
        </is>
      </c>
      <c r="I24" s="171" t="n"/>
      <c r="J24" s="172" t="n"/>
    </row>
    <row r="25"/>
    <row r="26" ht="20" customHeight="1">
      <c r="A26" s="385" t="inlineStr">
        <is>
          <t xml:space="preserve">  A. KANDANG &amp; INFRASTRUKTUR</t>
        </is>
      </c>
      <c r="B26" s="171" t="n"/>
      <c r="C26" s="171" t="n"/>
      <c r="D26" s="171" t="n"/>
      <c r="E26" s="171" t="n"/>
      <c r="F26" s="171" t="n"/>
      <c r="G26" s="171" t="n"/>
      <c r="H26" s="171" t="n"/>
      <c r="I26" s="171" t="n"/>
      <c r="J26" s="172" t="n"/>
    </row>
    <row r="27" ht="26" customHeight="1">
      <c r="A27" s="605" t="inlineStr">
        <is>
          <t>No</t>
        </is>
      </c>
      <c r="B27" s="606" t="inlineStr">
        <is>
          <t>Uraian Item</t>
        </is>
      </c>
      <c r="C27" s="607" t="inlineStr">
        <is>
          <t>Vol</t>
        </is>
      </c>
      <c r="D27" s="607" t="inlineStr">
        <is>
          <t>Sat</t>
        </is>
      </c>
      <c r="E27" s="607" t="inlineStr">
        <is>
          <t>Harga Sat (Rp)</t>
        </is>
      </c>
      <c r="F27" s="607" t="inlineStr">
        <is>
          <t>Total (Rp)</t>
        </is>
      </c>
      <c r="G27" s="608" t="inlineStr">
        <is>
          <t>Ket.</t>
        </is>
      </c>
      <c r="H27" s="178" t="n"/>
      <c r="I27" s="178" t="n"/>
      <c r="J27" s="179" t="n"/>
    </row>
    <row r="28" ht="18" customHeight="1">
      <c r="A28" s="609" t="n">
        <v>1</v>
      </c>
      <c r="B28" s="610" t="inlineStr">
        <is>
          <t>Konstruksi kandang babi (10×5m, 10 pen)</t>
        </is>
      </c>
      <c r="C28" s="611" t="n">
        <v>1</v>
      </c>
      <c r="D28" s="609" t="inlineStr">
        <is>
          <t>paket</t>
        </is>
      </c>
      <c r="E28" s="183" t="n">
        <v>20000000</v>
      </c>
      <c r="F28" s="184" t="n">
        <v>20000000</v>
      </c>
      <c r="G28" s="612" t="inlineStr">
        <is>
          <t>Beton + besi. Lantai semen miring, mudah dibersihkan. 1m²/ekor</t>
        </is>
      </c>
      <c r="H28" s="171" t="n"/>
      <c r="I28" s="171" t="n"/>
      <c r="J28" s="172" t="n"/>
    </row>
    <row r="29" ht="18" customHeight="1">
      <c r="A29" s="187" t="n">
        <v>2</v>
      </c>
      <c r="B29" s="188" t="inlineStr">
        <is>
          <t>Pen individual 1×2m per ekor (10 unit)</t>
        </is>
      </c>
      <c r="C29" s="594" t="n">
        <v>10</v>
      </c>
      <c r="D29" s="187" t="inlineStr">
        <is>
          <t>unit</t>
        </is>
      </c>
      <c r="E29" s="183" t="n">
        <v>1200000</v>
      </c>
      <c r="F29" s="184" t="n">
        <v>12000000</v>
      </c>
      <c r="G29" s="190" t="inlineStr">
        <is>
          <t>Sekat besi hollow. Pintu engsel per pen</t>
        </is>
      </c>
      <c r="H29" s="171" t="n"/>
      <c r="I29" s="171" t="n"/>
      <c r="J29" s="172" t="n"/>
    </row>
    <row r="30" ht="18" customHeight="1">
      <c r="A30" s="609" t="n">
        <v>3</v>
      </c>
      <c r="B30" s="610" t="inlineStr">
        <is>
          <t>Tempat pakan otomatis (feeder) per ekor</t>
        </is>
      </c>
      <c r="C30" s="611" t="n">
        <v>10</v>
      </c>
      <c r="D30" s="609" t="inlineStr">
        <is>
          <t>unit</t>
        </is>
      </c>
      <c r="E30" s="183" t="n">
        <v>250000</v>
      </c>
      <c r="F30" s="184" t="n">
        <v>2500000</v>
      </c>
      <c r="G30" s="612" t="inlineStr">
        <is>
          <t>Feeder galvanis anti karat. Babi makan 2–3kg/hari</t>
        </is>
      </c>
      <c r="H30" s="171" t="n"/>
      <c r="I30" s="171" t="n"/>
      <c r="J30" s="172" t="n"/>
    </row>
    <row r="31" ht="18" customHeight="1">
      <c r="A31" s="187" t="n">
        <v>4</v>
      </c>
      <c r="B31" s="188" t="inlineStr">
        <is>
          <t>Nipple waterer + pipa air</t>
        </is>
      </c>
      <c r="C31" s="594" t="n">
        <v>10</v>
      </c>
      <c r="D31" s="187" t="inlineStr">
        <is>
          <t>unit</t>
        </is>
      </c>
      <c r="E31" s="183" t="n">
        <v>150000</v>
      </c>
      <c r="F31" s="184" t="n">
        <v>1500000</v>
      </c>
      <c r="G31" s="190" t="inlineStr">
        <is>
          <t>Babi minum 5–8L/hari. Air bersih selalu tersedia</t>
        </is>
      </c>
      <c r="H31" s="171" t="n"/>
      <c r="I31" s="171" t="n"/>
      <c r="J31" s="172" t="n"/>
    </row>
    <row r="32" ht="18" customHeight="1">
      <c r="A32" s="609" t="n">
        <v>5</v>
      </c>
      <c r="B32" s="610" t="inlineStr">
        <is>
          <t>Saluran pembuangan kotoran ke biopit</t>
        </is>
      </c>
      <c r="C32" s="611" t="n">
        <v>1</v>
      </c>
      <c r="D32" s="609" t="inlineStr">
        <is>
          <t>paket</t>
        </is>
      </c>
      <c r="E32" s="183" t="n">
        <v>3000000</v>
      </c>
      <c r="F32" s="184" t="n">
        <v>3000000</v>
      </c>
      <c r="G32" s="612" t="inlineStr">
        <is>
          <t>Kotoran babi sangat bau — wajib sistem pembuangan tertutup</t>
        </is>
      </c>
      <c r="H32" s="171" t="n"/>
      <c r="I32" s="171" t="n"/>
      <c r="J32" s="172" t="n"/>
    </row>
    <row r="33" ht="18" customHeight="1">
      <c r="A33" s="187" t="n">
        <v>6</v>
      </c>
      <c r="B33" s="188" t="inlineStr">
        <is>
          <t>Atap + ventilasi kipas angin (babi sensitif panas)</t>
        </is>
      </c>
      <c r="C33" s="594" t="n">
        <v>1</v>
      </c>
      <c r="D33" s="187" t="inlineStr">
        <is>
          <t>paket</t>
        </is>
      </c>
      <c r="E33" s="183" t="n">
        <v>4000000</v>
      </c>
      <c r="F33" s="184" t="n">
        <v>4000000</v>
      </c>
      <c r="G33" s="190" t="inlineStr">
        <is>
          <t>Babi tidak punya kelenjar keringat! Suhu &gt;32°C = stres &amp; ADG turun</t>
        </is>
      </c>
      <c r="H33" s="171" t="n"/>
      <c r="I33" s="171" t="n"/>
      <c r="J33" s="172" t="n"/>
    </row>
    <row r="34" ht="18" customHeight="1">
      <c r="A34" s="609" t="n">
        <v>7</v>
      </c>
      <c r="B34" s="610" t="inlineStr">
        <is>
          <t>Biopit / kolam IPAL (penanganan limbah cair)</t>
        </is>
      </c>
      <c r="C34" s="611" t="n">
        <v>1</v>
      </c>
      <c r="D34" s="609" t="inlineStr">
        <is>
          <t>unit</t>
        </is>
      </c>
      <c r="E34" s="183" t="n">
        <v>5000000</v>
      </c>
      <c r="F34" s="184" t="n">
        <v>5000000</v>
      </c>
      <c r="G34" s="612" t="inlineStr">
        <is>
          <t>Wajib! Limbah babi sangat mencemari. Proses anaerob → pupuk cair</t>
        </is>
      </c>
      <c r="H34" s="171" t="n"/>
      <c r="I34" s="171" t="n"/>
      <c r="J34" s="172" t="n"/>
    </row>
    <row r="35" ht="20" customHeight="1">
      <c r="A35" s="613" t="inlineStr">
        <is>
          <t xml:space="preserve">  ▶ SUBTOTAL: A. KANDANG &amp; INFRASTRUKTUR</t>
        </is>
      </c>
      <c r="B35" s="178" t="n"/>
      <c r="C35" s="178" t="n"/>
      <c r="D35" s="178" t="n"/>
      <c r="E35" s="178" t="n"/>
      <c r="F35" s="614" t="n">
        <v>48000000</v>
      </c>
      <c r="G35" s="615" t="n"/>
      <c r="H35" s="178" t="n"/>
      <c r="I35" s="178" t="n"/>
      <c r="J35" s="179" t="n"/>
    </row>
    <row r="36"/>
    <row r="37" ht="20" customHeight="1">
      <c r="A37" s="385" t="inlineStr">
        <is>
          <t xml:space="preserve">  B. PEMBELIAN BIBIT BABI BAKALAN</t>
        </is>
      </c>
      <c r="B37" s="171" t="n"/>
      <c r="C37" s="171" t="n"/>
      <c r="D37" s="171" t="n"/>
      <c r="E37" s="171" t="n"/>
      <c r="F37" s="171" t="n"/>
      <c r="G37" s="171" t="n"/>
      <c r="H37" s="171" t="n"/>
      <c r="I37" s="171" t="n"/>
      <c r="J37" s="172" t="n"/>
    </row>
    <row r="38" ht="26" customHeight="1">
      <c r="A38" s="605" t="inlineStr">
        <is>
          <t>No</t>
        </is>
      </c>
      <c r="B38" s="606" t="inlineStr">
        <is>
          <t>Uraian Item</t>
        </is>
      </c>
      <c r="C38" s="607" t="inlineStr">
        <is>
          <t>Vol</t>
        </is>
      </c>
      <c r="D38" s="607" t="inlineStr">
        <is>
          <t>Sat</t>
        </is>
      </c>
      <c r="E38" s="607" t="inlineStr">
        <is>
          <t>Harga Sat (Rp)</t>
        </is>
      </c>
      <c r="F38" s="607" t="inlineStr">
        <is>
          <t>Total (Rp)</t>
        </is>
      </c>
      <c r="G38" s="608" t="inlineStr">
        <is>
          <t>Ket.</t>
        </is>
      </c>
      <c r="H38" s="178" t="n"/>
      <c r="I38" s="178" t="n"/>
      <c r="J38" s="179" t="n"/>
    </row>
    <row r="39" ht="18" customHeight="1">
      <c r="A39" s="609" t="n">
        <v>1</v>
      </c>
      <c r="B39" s="616" t="inlineStr">
        <is>
          <t>Bibit babi bakalan (bobot awal 20–25kg/ekor)</t>
        </is>
      </c>
      <c r="C39" s="611" t="n">
        <v>10</v>
      </c>
      <c r="D39" s="609" t="inlineStr">
        <is>
          <t>ekor</t>
        </is>
      </c>
      <c r="E39" s="183" t="n">
        <v>2500000</v>
      </c>
      <c r="F39" s="184" t="n">
        <v>25000000</v>
      </c>
      <c r="G39" s="612" t="inlineStr">
        <is>
          <t>Pilih galur Landrace/Duroc atau crossbreed. Tubuh panjang, kaki kokoh</t>
        </is>
      </c>
      <c r="H39" s="171" t="n"/>
      <c r="I39" s="171" t="n"/>
      <c r="J39" s="172" t="n"/>
    </row>
    <row r="40" ht="18" customHeight="1">
      <c r="A40" s="187" t="n">
        <v>2</v>
      </c>
      <c r="B40" s="188" t="inlineStr">
        <is>
          <t>Biaya angkut + karantina 7 hari</t>
        </is>
      </c>
      <c r="C40" s="594" t="n">
        <v>10</v>
      </c>
      <c r="D40" s="187" t="inlineStr">
        <is>
          <t>ekor</t>
        </is>
      </c>
      <c r="E40" s="183" t="n">
        <v>200000</v>
      </c>
      <c r="F40" s="184" t="n">
        <v>2000000</v>
      </c>
      <c r="G40" s="190" t="inlineStr">
        <is>
          <t>Isolasi + observasi sebelum masuk kandang utama</t>
        </is>
      </c>
      <c r="H40" s="171" t="n"/>
      <c r="I40" s="171" t="n"/>
      <c r="J40" s="172" t="n"/>
    </row>
    <row r="41" ht="20" customHeight="1">
      <c r="A41" s="613" t="inlineStr">
        <is>
          <t xml:space="preserve">  ▶ SUBTOTAL: B. PEMBELIAN BIBIT BABI BAKALAN</t>
        </is>
      </c>
      <c r="B41" s="178" t="n"/>
      <c r="C41" s="178" t="n"/>
      <c r="D41" s="178" t="n"/>
      <c r="E41" s="178" t="n"/>
      <c r="F41" s="614" t="n">
        <v>27000000</v>
      </c>
      <c r="G41" s="615" t="n"/>
      <c r="H41" s="178" t="n"/>
      <c r="I41" s="178" t="n"/>
      <c r="J41" s="179" t="n"/>
    </row>
    <row r="42"/>
    <row r="43" ht="20" customHeight="1">
      <c r="A43" s="385" t="inlineStr">
        <is>
          <t xml:space="preserve">  C. PAKAN &amp; NUTRISI (150 HARI)</t>
        </is>
      </c>
      <c r="B43" s="171" t="n"/>
      <c r="C43" s="171" t="n"/>
      <c r="D43" s="171" t="n"/>
      <c r="E43" s="171" t="n"/>
      <c r="F43" s="171" t="n"/>
      <c r="G43" s="171" t="n"/>
      <c r="H43" s="171" t="n"/>
      <c r="I43" s="171" t="n"/>
      <c r="J43" s="172" t="n"/>
    </row>
    <row r="44" ht="26" customHeight="1">
      <c r="A44" s="605" t="inlineStr">
        <is>
          <t>No</t>
        </is>
      </c>
      <c r="B44" s="606" t="inlineStr">
        <is>
          <t>Uraian Item</t>
        </is>
      </c>
      <c r="C44" s="607" t="inlineStr">
        <is>
          <t>Vol</t>
        </is>
      </c>
      <c r="D44" s="607" t="inlineStr">
        <is>
          <t>Sat</t>
        </is>
      </c>
      <c r="E44" s="607" t="inlineStr">
        <is>
          <t>Harga Sat (Rp)</t>
        </is>
      </c>
      <c r="F44" s="607" t="inlineStr">
        <is>
          <t>Total (Rp)</t>
        </is>
      </c>
      <c r="G44" s="608" t="inlineStr">
        <is>
          <t>Ket.</t>
        </is>
      </c>
      <c r="H44" s="178" t="n"/>
      <c r="I44" s="178" t="n"/>
      <c r="J44" s="179" t="n"/>
    </row>
    <row r="45" ht="18" customHeight="1">
      <c r="A45" s="609" t="n">
        <v>1</v>
      </c>
      <c r="B45" s="610" t="inlineStr">
        <is>
          <t>Pakan starter (fase awal, 20–50kg BB) — protein 18%</t>
        </is>
      </c>
      <c r="C45" s="611" t="n">
        <v>300</v>
      </c>
      <c r="D45" s="609" t="inlineStr">
        <is>
          <t>kg</t>
        </is>
      </c>
      <c r="E45" s="183" t="n">
        <v>9000</v>
      </c>
      <c r="F45" s="184" t="n">
        <v>2700000</v>
      </c>
      <c r="G45" s="612" t="inlineStr">
        <is>
          <t>~1kg/ekor/hari × 10 ekor × 30 hari</t>
        </is>
      </c>
      <c r="H45" s="171" t="n"/>
      <c r="I45" s="171" t="n"/>
      <c r="J45" s="172" t="n"/>
    </row>
    <row r="46" ht="18" customHeight="1">
      <c r="A46" s="187" t="n">
        <v>2</v>
      </c>
      <c r="B46" s="188" t="inlineStr">
        <is>
          <t>Pakan grower (50–80kg BB) — protein 16%</t>
        </is>
      </c>
      <c r="C46" s="594" t="n">
        <v>900</v>
      </c>
      <c r="D46" s="187" t="inlineStr">
        <is>
          <t>kg</t>
        </is>
      </c>
      <c r="E46" s="183" t="n">
        <v>8000</v>
      </c>
      <c r="F46" s="184" t="n">
        <v>7200000</v>
      </c>
      <c r="G46" s="190" t="inlineStr">
        <is>
          <t>~3kg/ekor/hari × 10 ekor × 30 hari</t>
        </is>
      </c>
      <c r="H46" s="171" t="n"/>
      <c r="I46" s="171" t="n"/>
      <c r="J46" s="172" t="n"/>
    </row>
    <row r="47" ht="18" customHeight="1">
      <c r="A47" s="609" t="n">
        <v>3</v>
      </c>
      <c r="B47" s="610" t="inlineStr">
        <is>
          <t>Pakan finisher (80–120kg BB) — protein 14%</t>
        </is>
      </c>
      <c r="C47" s="611" t="n">
        <v>2400</v>
      </c>
      <c r="D47" s="609" t="inlineStr">
        <is>
          <t>kg</t>
        </is>
      </c>
      <c r="E47" s="183" t="n">
        <v>7500</v>
      </c>
      <c r="F47" s="184" t="n">
        <v>18000000</v>
      </c>
      <c r="G47" s="612" t="inlineStr">
        <is>
          <t>~4kg/ekor/hari × 10 ekor × 60 hari (fase akhir)</t>
        </is>
      </c>
      <c r="H47" s="171" t="n"/>
      <c r="I47" s="171" t="n"/>
      <c r="J47" s="172" t="n"/>
    </row>
    <row r="48" ht="18" customHeight="1">
      <c r="A48" s="187" t="n">
        <v>4</v>
      </c>
      <c r="B48" s="409" t="inlineStr">
        <is>
          <t>Sisa dapur yayasan + limbah sayur (supplement)</t>
        </is>
      </c>
      <c r="C48" s="594" t="n">
        <v>1</v>
      </c>
      <c r="D48" s="187" t="inlineStr">
        <is>
          <t>paket</t>
        </is>
      </c>
      <c r="E48" s="183" t="n">
        <v>0</v>
      </c>
      <c r="F48" s="184" t="n"/>
      <c r="G48" s="190" t="inlineStr">
        <is>
          <t>GRATIS dari dapur yayasan! Kurangi biaya pakan 20–30%. Nilai BESAR</t>
        </is>
      </c>
      <c r="H48" s="171" t="n"/>
      <c r="I48" s="171" t="n"/>
      <c r="J48" s="172" t="n"/>
    </row>
    <row r="49" ht="18" customHeight="1">
      <c r="A49" s="609" t="n">
        <v>5</v>
      </c>
      <c r="B49" s="610" t="inlineStr">
        <is>
          <t>Mineral mix + vitamin premix</t>
        </is>
      </c>
      <c r="C49" s="611" t="n">
        <v>5</v>
      </c>
      <c r="D49" s="609" t="inlineStr">
        <is>
          <t>kg</t>
        </is>
      </c>
      <c r="E49" s="183" t="n">
        <v>80000</v>
      </c>
      <c r="F49" s="184" t="n">
        <v>400000</v>
      </c>
      <c r="G49" s="612" t="inlineStr">
        <is>
          <t>Campuran ke pakan. Kesehatan &amp; konversi pakan optimal</t>
        </is>
      </c>
      <c r="H49" s="171" t="n"/>
      <c r="I49" s="171" t="n"/>
      <c r="J49" s="172" t="n"/>
    </row>
    <row r="50" ht="18" customHeight="1">
      <c r="A50" s="187" t="n">
        <v>6</v>
      </c>
      <c r="B50" s="188" t="inlineStr">
        <is>
          <t>Lysin + Methionine (asam amino esensial)</t>
        </is>
      </c>
      <c r="C50" s="594" t="n">
        <v>3</v>
      </c>
      <c r="D50" s="187" t="inlineStr">
        <is>
          <t>kg</t>
        </is>
      </c>
      <c r="E50" s="183" t="n">
        <v>120000</v>
      </c>
      <c r="F50" s="184" t="n">
        <v>360000</v>
      </c>
      <c r="G50" s="190" t="inlineStr">
        <is>
          <t>Tingkatkan FCR. Babi jadi lebih efisien mengolah pakan</t>
        </is>
      </c>
      <c r="H50" s="171" t="n"/>
      <c r="I50" s="171" t="n"/>
      <c r="J50" s="172" t="n"/>
    </row>
    <row r="51" ht="20" customHeight="1">
      <c r="A51" s="613" t="inlineStr">
        <is>
          <t xml:space="preserve">  ▶ SUBTOTAL: C. PAKAN &amp; NUTRISI (150 HARI)</t>
        </is>
      </c>
      <c r="B51" s="178" t="n"/>
      <c r="C51" s="178" t="n"/>
      <c r="D51" s="178" t="n"/>
      <c r="E51" s="178" t="n"/>
      <c r="F51" s="614" t="n">
        <v>28660000</v>
      </c>
      <c r="G51" s="615" t="n"/>
      <c r="H51" s="178" t="n"/>
      <c r="I51" s="178" t="n"/>
      <c r="J51" s="179" t="n"/>
    </row>
    <row r="52"/>
    <row r="53" ht="20" customHeight="1">
      <c r="A53" s="385" t="inlineStr">
        <is>
          <t xml:space="preserve">  D. KESEHATAN, VAKSIN &amp; BIOSECURITY</t>
        </is>
      </c>
      <c r="B53" s="171" t="n"/>
      <c r="C53" s="171" t="n"/>
      <c r="D53" s="171" t="n"/>
      <c r="E53" s="171" t="n"/>
      <c r="F53" s="171" t="n"/>
      <c r="G53" s="171" t="n"/>
      <c r="H53" s="171" t="n"/>
      <c r="I53" s="171" t="n"/>
      <c r="J53" s="172" t="n"/>
    </row>
    <row r="54" ht="26" customHeight="1">
      <c r="A54" s="605" t="inlineStr">
        <is>
          <t>No</t>
        </is>
      </c>
      <c r="B54" s="606" t="inlineStr">
        <is>
          <t>Uraian Item</t>
        </is>
      </c>
      <c r="C54" s="607" t="inlineStr">
        <is>
          <t>Vol</t>
        </is>
      </c>
      <c r="D54" s="607" t="inlineStr">
        <is>
          <t>Sat</t>
        </is>
      </c>
      <c r="E54" s="607" t="inlineStr">
        <is>
          <t>Harga Sat (Rp)</t>
        </is>
      </c>
      <c r="F54" s="607" t="inlineStr">
        <is>
          <t>Total (Rp)</t>
        </is>
      </c>
      <c r="G54" s="608" t="inlineStr">
        <is>
          <t>Ket.</t>
        </is>
      </c>
      <c r="H54" s="178" t="n"/>
      <c r="I54" s="178" t="n"/>
      <c r="J54" s="179" t="n"/>
    </row>
    <row r="55" ht="18" customHeight="1">
      <c r="A55" s="609" t="n">
        <v>1</v>
      </c>
      <c r="B55" s="610" t="inlineStr">
        <is>
          <t>Vaksin Hog Cholera (Classical Swine Fever)</t>
        </is>
      </c>
      <c r="C55" s="611" t="n">
        <v>2</v>
      </c>
      <c r="D55" s="609" t="inlineStr">
        <is>
          <t>dosis/ekor</t>
        </is>
      </c>
      <c r="E55" s="183" t="n">
        <v>30000</v>
      </c>
      <c r="F55" s="184" t="n">
        <v>600000</v>
      </c>
      <c r="G55" s="612" t="inlineStr">
        <is>
          <t>Vaksin wajib. 2 dosis: awal + bln ke-2</t>
        </is>
      </c>
      <c r="H55" s="171" t="n"/>
      <c r="I55" s="171" t="n"/>
      <c r="J55" s="172" t="n"/>
    </row>
    <row r="56" ht="18" customHeight="1">
      <c r="A56" s="187" t="n">
        <v>2</v>
      </c>
      <c r="B56" s="188" t="inlineStr">
        <is>
          <t>Vaksin PRRS + PCV2 (opsional, prioritas Fase 2)</t>
        </is>
      </c>
      <c r="C56" s="594" t="n">
        <v>1</v>
      </c>
      <c r="D56" s="187" t="inlineStr">
        <is>
          <t>paket</t>
        </is>
      </c>
      <c r="E56" s="183" t="n">
        <v>1500000</v>
      </c>
      <c r="F56" s="184" t="n">
        <v>1500000</v>
      </c>
      <c r="G56" s="190" t="inlineStr">
        <is>
          <t>Untuk biosecurity ketat. Rekomendasi jika skala besar</t>
        </is>
      </c>
      <c r="H56" s="171" t="n"/>
      <c r="I56" s="171" t="n"/>
      <c r="J56" s="172" t="n"/>
    </row>
    <row r="57" ht="18" customHeight="1">
      <c r="A57" s="609" t="n">
        <v>3</v>
      </c>
      <c r="B57" s="610" t="inlineStr">
        <is>
          <t>Obat cacing + ivermectin (deworming)</t>
        </is>
      </c>
      <c r="C57" s="611" t="n">
        <v>2</v>
      </c>
      <c r="D57" s="609" t="inlineStr">
        <is>
          <t>dosis/ekor</t>
        </is>
      </c>
      <c r="E57" s="183" t="n">
        <v>20000</v>
      </c>
      <c r="F57" s="184" t="n">
        <v>400000</v>
      </c>
      <c r="G57" s="612" t="inlineStr">
        <is>
          <t>Babi rentan cacingan. Tiap 60 hari</t>
        </is>
      </c>
      <c r="H57" s="171" t="n"/>
      <c r="I57" s="171" t="n"/>
      <c r="J57" s="172" t="n"/>
    </row>
    <row r="58" ht="18" customHeight="1">
      <c r="A58" s="187" t="n">
        <v>4</v>
      </c>
      <c r="B58" s="188" t="inlineStr">
        <is>
          <t>Antiseptik + disinfektan kandang (tiap 2 minggu)</t>
        </is>
      </c>
      <c r="C58" s="594" t="n">
        <v>6</v>
      </c>
      <c r="D58" s="187" t="inlineStr">
        <is>
          <t>liter</t>
        </is>
      </c>
      <c r="E58" s="183" t="n">
        <v>50000</v>
      </c>
      <c r="F58" s="184" t="n">
        <v>300000</v>
      </c>
      <c r="G58" s="190" t="inlineStr">
        <is>
          <t>Semprot kandang tiap 2 minggu. Formalin / Glutaraldehide</t>
        </is>
      </c>
      <c r="H58" s="171" t="n"/>
      <c r="I58" s="171" t="n"/>
      <c r="J58" s="172" t="n"/>
    </row>
    <row r="59" ht="18" customHeight="1">
      <c r="A59" s="609" t="n">
        <v>5</v>
      </c>
      <c r="B59" s="610" t="inlineStr">
        <is>
          <t>Antibiotik cadangan (Amoxicillin)</t>
        </is>
      </c>
      <c r="C59" s="611" t="n">
        <v>1</v>
      </c>
      <c r="D59" s="609" t="inlineStr">
        <is>
          <t>paket</t>
        </is>
      </c>
      <c r="E59" s="183" t="n">
        <v>400000</v>
      </c>
      <c r="F59" s="184" t="n">
        <v>400000</v>
      </c>
      <c r="G59" s="612" t="inlineStr">
        <is>
          <t>Stok darurat infeksi</t>
        </is>
      </c>
      <c r="H59" s="171" t="n"/>
      <c r="I59" s="171" t="n"/>
      <c r="J59" s="172" t="n"/>
    </row>
    <row r="60" ht="18" customHeight="1">
      <c r="A60" s="187" t="n">
        <v>6</v>
      </c>
      <c r="B60" s="188" t="inlineStr">
        <is>
          <t>Jasa dokter hewan / mantri (4 kunjungan)</t>
        </is>
      </c>
      <c r="C60" s="594" t="n">
        <v>4</v>
      </c>
      <c r="D60" s="187" t="inlineStr">
        <is>
          <t>kunjungan</t>
        </is>
      </c>
      <c r="E60" s="183" t="n">
        <v>200000</v>
      </c>
      <c r="F60" s="184" t="n">
        <v>800000</v>
      </c>
      <c r="G60" s="190" t="inlineStr">
        <is>
          <t>Monitoring bulanan + darurat</t>
        </is>
      </c>
      <c r="H60" s="171" t="n"/>
      <c r="I60" s="171" t="n"/>
      <c r="J60" s="172" t="n"/>
    </row>
    <row r="61" ht="20" customHeight="1">
      <c r="A61" s="613" t="inlineStr">
        <is>
          <t xml:space="preserve">  ▶ SUBTOTAL: D. KESEHATAN, VAKSIN &amp; BIOSECURITY</t>
        </is>
      </c>
      <c r="B61" s="178" t="n"/>
      <c r="C61" s="178" t="n"/>
      <c r="D61" s="178" t="n"/>
      <c r="E61" s="178" t="n"/>
      <c r="F61" s="614" t="n">
        <v>4000000</v>
      </c>
      <c r="G61" s="615" t="n"/>
      <c r="H61" s="178" t="n"/>
      <c r="I61" s="178" t="n"/>
      <c r="J61" s="179" t="n"/>
    </row>
    <row r="62"/>
    <row r="63" ht="20" customHeight="1">
      <c r="A63" s="385" t="inlineStr">
        <is>
          <t xml:space="preserve">  E. TENAGA KERJA — SISTEM ADVANCE</t>
        </is>
      </c>
      <c r="B63" s="171" t="n"/>
      <c r="C63" s="171" t="n"/>
      <c r="D63" s="171" t="n"/>
      <c r="E63" s="171" t="n"/>
      <c r="F63" s="171" t="n"/>
      <c r="G63" s="171" t="n"/>
      <c r="H63" s="171" t="n"/>
      <c r="I63" s="171" t="n"/>
      <c r="J63" s="172" t="n"/>
    </row>
    <row r="64" ht="26" customHeight="1">
      <c r="A64" s="605" t="inlineStr">
        <is>
          <t>No</t>
        </is>
      </c>
      <c r="B64" s="606" t="inlineStr">
        <is>
          <t>Uraian Item</t>
        </is>
      </c>
      <c r="C64" s="607" t="inlineStr">
        <is>
          <t>Vol</t>
        </is>
      </c>
      <c r="D64" s="607" t="inlineStr">
        <is>
          <t>Sat</t>
        </is>
      </c>
      <c r="E64" s="607" t="inlineStr">
        <is>
          <t>Harga Sat (Rp)</t>
        </is>
      </c>
      <c r="F64" s="607" t="inlineStr">
        <is>
          <t>Total (Rp)</t>
        </is>
      </c>
      <c r="G64" s="608" t="inlineStr">
        <is>
          <t>Ket.</t>
        </is>
      </c>
      <c r="H64" s="178" t="n"/>
      <c r="I64" s="178" t="n"/>
      <c r="J64" s="179" t="n"/>
    </row>
    <row r="65" ht="18" customHeight="1">
      <c r="A65" s="390" t="n">
        <v>1</v>
      </c>
      <c r="B65" s="408" t="inlineStr">
        <is>
          <t>Penjaga kandang babi (1 org full time × 5 bln)</t>
        </is>
      </c>
      <c r="C65" s="598" t="n">
        <v>5</v>
      </c>
      <c r="D65" s="390" t="inlineStr">
        <is>
          <t>bln</t>
        </is>
      </c>
      <c r="E65" s="183" t="n">
        <v>2500000</v>
      </c>
      <c r="F65" s="401" t="n">
        <v>12500000</v>
      </c>
      <c r="G65" s="394" t="inlineStr">
        <is>
          <t>ADVANCE. Kasih makan 2×/hari, bersih kandang, pantau kesehatan</t>
        </is>
      </c>
      <c r="H65" s="171" t="n"/>
      <c r="I65" s="171" t="n"/>
      <c r="J65" s="172" t="n"/>
    </row>
    <row r="66" ht="18" customHeight="1">
      <c r="A66" s="390" t="n">
        <v>2</v>
      </c>
      <c r="B66" s="476" t="inlineStr">
        <is>
          <t>Tenaga bersih kandang intensif (2× sehari)</t>
        </is>
      </c>
      <c r="C66" s="598" t="n">
        <v>5</v>
      </c>
      <c r="D66" s="390" t="inlineStr">
        <is>
          <t>bln</t>
        </is>
      </c>
      <c r="E66" s="183" t="n">
        <v>1000000</v>
      </c>
      <c r="F66" s="401" t="n">
        <v>5000000</v>
      </c>
      <c r="G66" s="394" t="inlineStr">
        <is>
          <t>ADVANCE. Kotoran babi harus dibuang tiap hari (bau &amp; penyakit)</t>
        </is>
      </c>
      <c r="H66" s="171" t="n"/>
      <c r="I66" s="171" t="n"/>
      <c r="J66" s="172" t="n"/>
    </row>
    <row r="67" ht="18" customHeight="1">
      <c r="A67" s="390" t="n">
        <v>3</v>
      </c>
      <c r="B67" s="476" t="inlineStr">
        <is>
          <t>Koordinator ternak (5 bln)</t>
        </is>
      </c>
      <c r="C67" s="598" t="n">
        <v>5</v>
      </c>
      <c r="D67" s="390" t="inlineStr">
        <is>
          <t>bln</t>
        </is>
      </c>
      <c r="E67" s="183" t="n">
        <v>500000</v>
      </c>
      <c r="F67" s="401" t="n">
        <v>2500000</v>
      </c>
      <c r="G67" s="394" t="inlineStr">
        <is>
          <t>ADVANCE. Timbang mingguan, catatan FCR, laporan ke yayasan</t>
        </is>
      </c>
      <c r="H67" s="171" t="n"/>
      <c r="I67" s="171" t="n"/>
      <c r="J67" s="172" t="n"/>
    </row>
    <row r="68" ht="20" customHeight="1">
      <c r="A68" s="613" t="inlineStr">
        <is>
          <t xml:space="preserve">  ▶ SUBTOTAL: E. TENAGA KERJA — SISTEM ADVANCE</t>
        </is>
      </c>
      <c r="B68" s="178" t="n"/>
      <c r="C68" s="178" t="n"/>
      <c r="D68" s="178" t="n"/>
      <c r="E68" s="178" t="n"/>
      <c r="F68" s="614" t="n">
        <v>20000000</v>
      </c>
      <c r="G68" s="615" t="n"/>
      <c r="H68" s="178" t="n"/>
      <c r="I68" s="178" t="n"/>
      <c r="J68" s="179" t="n"/>
    </row>
    <row r="69"/>
    <row r="70" ht="20" customHeight="1">
      <c r="A70" s="385" t="inlineStr">
        <is>
          <t xml:space="preserve">  F. PEMOTONGAN &amp; DISTRIBUSI DAGING</t>
        </is>
      </c>
      <c r="B70" s="171" t="n"/>
      <c r="C70" s="171" t="n"/>
      <c r="D70" s="171" t="n"/>
      <c r="E70" s="171" t="n"/>
      <c r="F70" s="171" t="n"/>
      <c r="G70" s="171" t="n"/>
      <c r="H70" s="171" t="n"/>
      <c r="I70" s="171" t="n"/>
      <c r="J70" s="172" t="n"/>
    </row>
    <row r="71" ht="26" customHeight="1">
      <c r="A71" s="605" t="inlineStr">
        <is>
          <t>No</t>
        </is>
      </c>
      <c r="B71" s="606" t="inlineStr">
        <is>
          <t>Uraian Item</t>
        </is>
      </c>
      <c r="C71" s="607" t="inlineStr">
        <is>
          <t>Vol</t>
        </is>
      </c>
      <c r="D71" s="607" t="inlineStr">
        <is>
          <t>Sat</t>
        </is>
      </c>
      <c r="E71" s="607" t="inlineStr">
        <is>
          <t>Harga Sat (Rp)</t>
        </is>
      </c>
      <c r="F71" s="607" t="inlineStr">
        <is>
          <t>Total (Rp)</t>
        </is>
      </c>
      <c r="G71" s="608" t="inlineStr">
        <is>
          <t>Ket.</t>
        </is>
      </c>
      <c r="H71" s="178" t="n"/>
      <c r="I71" s="178" t="n"/>
      <c r="J71" s="179" t="n"/>
    </row>
    <row r="72" ht="18" customHeight="1">
      <c r="A72" s="609" t="n">
        <v>1</v>
      </c>
      <c r="B72" s="610" t="inlineStr">
        <is>
          <t>Biaya RPH / pemotongan (RPA bersertifikat)</t>
        </is>
      </c>
      <c r="C72" s="611" t="n">
        <v>10</v>
      </c>
      <c r="D72" s="609" t="inlineStr">
        <is>
          <t>ekor</t>
        </is>
      </c>
      <c r="E72" s="183" t="n">
        <v>300000</v>
      </c>
      <c r="F72" s="184" t="n">
        <v>3000000</v>
      </c>
      <c r="G72" s="612" t="inlineStr">
        <is>
          <t>RPA resmi. Babi potong ±120kg → karkas ~72kg (FCR karkas 60%)</t>
        </is>
      </c>
      <c r="H72" s="171" t="n"/>
      <c r="I72" s="171" t="n"/>
      <c r="J72" s="172" t="n"/>
    </row>
    <row r="73" ht="18" customHeight="1">
      <c r="A73" s="187" t="n">
        <v>2</v>
      </c>
      <c r="B73" s="188" t="inlineStr">
        <is>
          <t>Angkut ke RPA</t>
        </is>
      </c>
      <c r="C73" s="594" t="n">
        <v>10</v>
      </c>
      <c r="D73" s="187" t="inlineStr">
        <is>
          <t>ekor</t>
        </is>
      </c>
      <c r="E73" s="183" t="n">
        <v>100000</v>
      </c>
      <c r="F73" s="184" t="n">
        <v>1000000</v>
      </c>
      <c r="G73" s="190" t="inlineStr">
        <is>
          <t>Sewa truk ternak</t>
        </is>
      </c>
      <c r="H73" s="171" t="n"/>
      <c r="I73" s="171" t="n"/>
      <c r="J73" s="172" t="n"/>
    </row>
    <row r="74" ht="18" customHeight="1">
      <c r="A74" s="609" t="n">
        <v>3</v>
      </c>
      <c r="B74" s="610" t="inlineStr">
        <is>
          <t>Packaging daging (vacuum + coolbox)</t>
        </is>
      </c>
      <c r="C74" s="611" t="n">
        <v>1</v>
      </c>
      <c r="D74" s="609" t="inlineStr">
        <is>
          <t>paket</t>
        </is>
      </c>
      <c r="E74" s="183" t="n">
        <v>2000000</v>
      </c>
      <c r="F74" s="184" t="n">
        <v>2000000</v>
      </c>
      <c r="G74" s="612" t="inlineStr">
        <is>
          <t>Distribusi ke restoran, hotel, rumah makan non-Muslim</t>
        </is>
      </c>
      <c r="H74" s="171" t="n"/>
      <c r="I74" s="171" t="n"/>
      <c r="J74" s="172" t="n"/>
    </row>
    <row r="75" ht="18" customHeight="1">
      <c r="A75" s="187" t="n">
        <v>4</v>
      </c>
      <c r="B75" s="188" t="inlineStr">
        <is>
          <t>Perizinan &amp; administrasi penjualan</t>
        </is>
      </c>
      <c r="C75" s="594" t="n">
        <v>1</v>
      </c>
      <c r="D75" s="187" t="inlineStr">
        <is>
          <t>paket</t>
        </is>
      </c>
      <c r="E75" s="183" t="n">
        <v>300000</v>
      </c>
      <c r="F75" s="184" t="n">
        <v>300000</v>
      </c>
      <c r="G75" s="190" t="inlineStr">
        <is>
          <t>Dokumen sehat ternak, invoice</t>
        </is>
      </c>
      <c r="H75" s="171" t="n"/>
      <c r="I75" s="171" t="n"/>
      <c r="J75" s="172" t="n"/>
    </row>
    <row r="76" ht="20" customHeight="1">
      <c r="A76" s="613" t="inlineStr">
        <is>
          <t xml:space="preserve">  ▶ SUBTOTAL: F. PEMOTONGAN &amp; DISTRIBUSI DAGING</t>
        </is>
      </c>
      <c r="B76" s="178" t="n"/>
      <c r="C76" s="178" t="n"/>
      <c r="D76" s="178" t="n"/>
      <c r="E76" s="178" t="n"/>
      <c r="F76" s="614" t="n">
        <v>6300000</v>
      </c>
      <c r="G76" s="615" t="n"/>
      <c r="H76" s="178" t="n"/>
      <c r="I76" s="178" t="n"/>
      <c r="J76" s="179" t="n"/>
    </row>
    <row r="77"/>
    <row r="78" ht="34" customHeight="1">
      <c r="A78" s="617" t="inlineStr">
        <is>
          <t xml:space="preserve">  🏆 GRAND TOTAL RAB — BABI PENGGEMUKAN 10 EKOR</t>
        </is>
      </c>
      <c r="B78" s="200" t="n"/>
      <c r="C78" s="200" t="n"/>
      <c r="D78" s="200" t="n"/>
      <c r="E78" s="200" t="n"/>
      <c r="F78" s="618" t="n">
        <v>133960000</v>
      </c>
      <c r="G78" s="619" t="inlineStr">
        <is>
          <t>ROI total: -63.0% | Donatur return: 2.6% | Bonus tenaga: Rp 0</t>
        </is>
      </c>
      <c r="H78" s="200" t="n"/>
      <c r="I78" s="200" t="n"/>
      <c r="J78" s="203" t="n"/>
    </row>
  </sheetData>
  <mergeCells count="91">
    <mergeCell ref="A17:G17"/>
    <mergeCell ref="G55:J55"/>
    <mergeCell ref="G47:J47"/>
    <mergeCell ref="A43:J43"/>
    <mergeCell ref="H17:J17"/>
    <mergeCell ref="A19:G19"/>
    <mergeCell ref="H11:J11"/>
    <mergeCell ref="G32:J32"/>
    <mergeCell ref="A63:J63"/>
    <mergeCell ref="G46:J46"/>
    <mergeCell ref="G40:J40"/>
    <mergeCell ref="A9:G9"/>
    <mergeCell ref="G72:J72"/>
    <mergeCell ref="H19:J19"/>
    <mergeCell ref="G71:J71"/>
    <mergeCell ref="A11:G11"/>
    <mergeCell ref="H5:J5"/>
    <mergeCell ref="G57:J57"/>
    <mergeCell ref="G66:J66"/>
    <mergeCell ref="A21:G21"/>
    <mergeCell ref="G34:J34"/>
    <mergeCell ref="G74:J74"/>
    <mergeCell ref="G68:J68"/>
    <mergeCell ref="G58:J58"/>
    <mergeCell ref="H21:J21"/>
    <mergeCell ref="A23:G23"/>
    <mergeCell ref="A8:G8"/>
    <mergeCell ref="G29:J29"/>
    <mergeCell ref="A4:J4"/>
    <mergeCell ref="A10:G10"/>
    <mergeCell ref="H7:J7"/>
    <mergeCell ref="G44:J44"/>
    <mergeCell ref="H16:J16"/>
    <mergeCell ref="G75:J75"/>
    <mergeCell ref="G31:J31"/>
    <mergeCell ref="A78:E78"/>
    <mergeCell ref="G67:J67"/>
    <mergeCell ref="G61:J61"/>
    <mergeCell ref="G48:J48"/>
    <mergeCell ref="G38:J38"/>
    <mergeCell ref="H20:J20"/>
    <mergeCell ref="G49:J49"/>
    <mergeCell ref="A12:G12"/>
    <mergeCell ref="A2:J2"/>
    <mergeCell ref="G33:J33"/>
    <mergeCell ref="A5:G5"/>
    <mergeCell ref="G65:J65"/>
    <mergeCell ref="A14:G14"/>
    <mergeCell ref="G35:J35"/>
    <mergeCell ref="G76:J76"/>
    <mergeCell ref="G60:J60"/>
    <mergeCell ref="A24:G24"/>
    <mergeCell ref="G59:J59"/>
    <mergeCell ref="H15:J15"/>
    <mergeCell ref="H24:J24"/>
    <mergeCell ref="H18:J18"/>
    <mergeCell ref="G39:J39"/>
    <mergeCell ref="A70:J70"/>
    <mergeCell ref="H8:J8"/>
    <mergeCell ref="A16:G16"/>
    <mergeCell ref="H10:J10"/>
    <mergeCell ref="A18:G18"/>
    <mergeCell ref="G78:J78"/>
    <mergeCell ref="H9:J9"/>
    <mergeCell ref="G64:J64"/>
    <mergeCell ref="G73:J73"/>
    <mergeCell ref="G51:J51"/>
    <mergeCell ref="A51:E51"/>
    <mergeCell ref="A20:G20"/>
    <mergeCell ref="A53:J53"/>
    <mergeCell ref="G54:J54"/>
    <mergeCell ref="A61:E61"/>
    <mergeCell ref="G41:J41"/>
    <mergeCell ref="G50:J50"/>
    <mergeCell ref="G56:J56"/>
    <mergeCell ref="A41:E41"/>
    <mergeCell ref="H12:J12"/>
    <mergeCell ref="A15:G15"/>
    <mergeCell ref="G27:J27"/>
    <mergeCell ref="A1:J1"/>
    <mergeCell ref="H14:J14"/>
    <mergeCell ref="H23:J23"/>
    <mergeCell ref="A76:E76"/>
    <mergeCell ref="A7:G7"/>
    <mergeCell ref="G28:J28"/>
    <mergeCell ref="A35:E35"/>
    <mergeCell ref="A37:J37"/>
    <mergeCell ref="A68:E68"/>
    <mergeCell ref="G30:J30"/>
    <mergeCell ref="A26:J26"/>
    <mergeCell ref="G45:J4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44" customHeight="1">
      <c r="A1" s="620" t="inlineStr">
        <is>
          <t>👦 PROGRAM &amp; LAPORAN PERKEMBANGAN ANAK BINAAN — NAWA CAHAYA</t>
        </is>
      </c>
    </row>
    <row r="2" ht="18" customHeight="1">
      <c r="A2" s="169" t="inlineStr">
        <is>
          <t>Dashboard Progress Anak · Terintegrasi dengan Sistem Donasi · Update Real-Time</t>
        </is>
      </c>
    </row>
    <row r="3"/>
    <row r="4" ht="22" customHeight="1">
      <c r="A4" s="173" t="inlineStr">
        <is>
          <t>📋 A. DATA PROFIL ANAK BINAAN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 ht="26" customHeight="1">
      <c r="A5" s="174" t="inlineStr">
        <is>
          <t>ID</t>
        </is>
      </c>
      <c r="B5" s="176" t="inlineStr">
        <is>
          <t>Nama Lengkap</t>
        </is>
      </c>
      <c r="C5" s="176" t="inlineStr">
        <is>
          <t>Tgl Masuk</t>
        </is>
      </c>
      <c r="D5" s="176" t="inlineStr">
        <is>
          <t>Usia</t>
        </is>
      </c>
      <c r="E5" s="176" t="inlineStr">
        <is>
          <t>Asal</t>
        </is>
      </c>
      <c r="F5" s="176" t="inlineStr">
        <is>
          <t>Status Legal</t>
        </is>
      </c>
      <c r="G5" s="176" t="inlineStr">
        <is>
          <t>Tim</t>
        </is>
      </c>
      <c r="H5" s="176" t="inlineStr">
        <is>
          <t>Kontak Wali</t>
        </is>
      </c>
      <c r="I5" s="176" t="inlineStr">
        <is>
          <t>Kondisi Awal</t>
        </is>
      </c>
      <c r="J5" s="176" t="inlineStr">
        <is>
          <t>Foto</t>
        </is>
      </c>
      <c r="K5" s="176" t="inlineStr">
        <is>
          <t>Catatan Khusus</t>
        </is>
      </c>
      <c r="L5" s="177" t="inlineStr">
        <is>
          <t>Update</t>
        </is>
      </c>
    </row>
    <row r="6" ht="20" customHeight="1">
      <c r="A6" s="621" t="inlineStr">
        <is>
          <t>NC-001</t>
        </is>
      </c>
      <c r="B6" s="622" t="n"/>
      <c r="C6" s="622" t="n"/>
      <c r="D6" s="622" t="n"/>
      <c r="E6" s="622" t="n"/>
      <c r="F6" s="622" t="n"/>
      <c r="G6" s="622" t="n"/>
      <c r="H6" s="622" t="n"/>
      <c r="I6" s="622" t="n"/>
      <c r="J6" s="622" t="n"/>
      <c r="K6" s="622" t="n"/>
      <c r="L6" s="622" t="n"/>
    </row>
    <row r="7" ht="20" customHeight="1">
      <c r="A7" s="621" t="inlineStr">
        <is>
          <t>NC-002</t>
        </is>
      </c>
      <c r="B7" s="623" t="n"/>
      <c r="C7" s="623" t="n"/>
      <c r="D7" s="623" t="n"/>
      <c r="E7" s="623" t="n"/>
      <c r="F7" s="623" t="n"/>
      <c r="G7" s="623" t="n"/>
      <c r="H7" s="623" t="n"/>
      <c r="I7" s="623" t="n"/>
      <c r="J7" s="623" t="n"/>
      <c r="K7" s="623" t="n"/>
      <c r="L7" s="623" t="n"/>
    </row>
    <row r="8" ht="20" customHeight="1">
      <c r="A8" s="621" t="inlineStr">
        <is>
          <t>NC-003</t>
        </is>
      </c>
      <c r="B8" s="622" t="n"/>
      <c r="C8" s="622" t="n"/>
      <c r="D8" s="622" t="n"/>
      <c r="E8" s="622" t="n"/>
      <c r="F8" s="622" t="n"/>
      <c r="G8" s="622" t="n"/>
      <c r="H8" s="622" t="n"/>
      <c r="I8" s="622" t="n"/>
      <c r="J8" s="622" t="n"/>
      <c r="K8" s="622" t="n"/>
      <c r="L8" s="622" t="n"/>
    </row>
    <row r="9" ht="20" customHeight="1">
      <c r="A9" s="621" t="inlineStr">
        <is>
          <t>NC-004</t>
        </is>
      </c>
      <c r="B9" s="623" t="n"/>
      <c r="C9" s="623" t="n"/>
      <c r="D9" s="623" t="n"/>
      <c r="E9" s="623" t="n"/>
      <c r="F9" s="623" t="n"/>
      <c r="G9" s="623" t="n"/>
      <c r="H9" s="623" t="n"/>
      <c r="I9" s="623" t="n"/>
      <c r="J9" s="623" t="n"/>
      <c r="K9" s="623" t="n"/>
      <c r="L9" s="623" t="n"/>
    </row>
    <row r="10" ht="20" customHeight="1">
      <c r="A10" s="621" t="inlineStr">
        <is>
          <t>NC-005</t>
        </is>
      </c>
      <c r="B10" s="622" t="n"/>
      <c r="C10" s="622" t="n"/>
      <c r="D10" s="622" t="n"/>
      <c r="E10" s="622" t="n"/>
      <c r="F10" s="622" t="n"/>
      <c r="G10" s="622" t="n"/>
      <c r="H10" s="622" t="n"/>
      <c r="I10" s="622" t="n"/>
      <c r="J10" s="622" t="n"/>
      <c r="K10" s="622" t="n"/>
      <c r="L10" s="622" t="n"/>
    </row>
    <row r="11" ht="20" customHeight="1">
      <c r="A11" s="621" t="inlineStr">
        <is>
          <t>NC-006</t>
        </is>
      </c>
      <c r="B11" s="623" t="n"/>
      <c r="C11" s="623" t="n"/>
      <c r="D11" s="623" t="n"/>
      <c r="E11" s="623" t="n"/>
      <c r="F11" s="623" t="n"/>
      <c r="G11" s="623" t="n"/>
      <c r="H11" s="623" t="n"/>
      <c r="I11" s="623" t="n"/>
      <c r="J11" s="623" t="n"/>
      <c r="K11" s="623" t="n"/>
      <c r="L11" s="623" t="n"/>
    </row>
    <row r="12" ht="20" customHeight="1">
      <c r="A12" s="621" t="inlineStr">
        <is>
          <t>NC-007</t>
        </is>
      </c>
      <c r="B12" s="622" t="n"/>
      <c r="C12" s="622" t="n"/>
      <c r="D12" s="622" t="n"/>
      <c r="E12" s="622" t="n"/>
      <c r="F12" s="622" t="n"/>
      <c r="G12" s="622" t="n"/>
      <c r="H12" s="622" t="n"/>
      <c r="I12" s="622" t="n"/>
      <c r="J12" s="622" t="n"/>
      <c r="K12" s="622" t="n"/>
      <c r="L12" s="622" t="n"/>
    </row>
    <row r="13" ht="20" customHeight="1">
      <c r="A13" s="621" t="inlineStr">
        <is>
          <t>NC-008</t>
        </is>
      </c>
      <c r="B13" s="623" t="n"/>
      <c r="C13" s="623" t="n"/>
      <c r="D13" s="623" t="n"/>
      <c r="E13" s="623" t="n"/>
      <c r="F13" s="623" t="n"/>
      <c r="G13" s="623" t="n"/>
      <c r="H13" s="623" t="n"/>
      <c r="I13" s="623" t="n"/>
      <c r="J13" s="623" t="n"/>
      <c r="K13" s="623" t="n"/>
      <c r="L13" s="623" t="n"/>
    </row>
    <row r="14" ht="20" customHeight="1">
      <c r="A14" s="621" t="inlineStr">
        <is>
          <t>NC-009</t>
        </is>
      </c>
      <c r="B14" s="622" t="n"/>
      <c r="C14" s="622" t="n"/>
      <c r="D14" s="622" t="n"/>
      <c r="E14" s="622" t="n"/>
      <c r="F14" s="622" t="n"/>
      <c r="G14" s="622" t="n"/>
      <c r="H14" s="622" t="n"/>
      <c r="I14" s="622" t="n"/>
      <c r="J14" s="622" t="n"/>
      <c r="K14" s="622" t="n"/>
      <c r="L14" s="622" t="n"/>
    </row>
    <row r="15" ht="20" customHeight="1">
      <c r="A15" s="621" t="inlineStr">
        <is>
          <t>NC-010</t>
        </is>
      </c>
      <c r="B15" s="623" t="n"/>
      <c r="C15" s="623" t="n"/>
      <c r="D15" s="623" t="n"/>
      <c r="E15" s="623" t="n"/>
      <c r="F15" s="623" t="n"/>
      <c r="G15" s="623" t="n"/>
      <c r="H15" s="623" t="n"/>
      <c r="I15" s="623" t="n"/>
      <c r="J15" s="623" t="n"/>
      <c r="K15" s="623" t="n"/>
      <c r="L15" s="623" t="n"/>
    </row>
    <row r="16" ht="20" customHeight="1">
      <c r="A16" s="621" t="inlineStr">
        <is>
          <t>NC-011</t>
        </is>
      </c>
      <c r="B16" s="622" t="n"/>
      <c r="C16" s="622" t="n"/>
      <c r="D16" s="622" t="n"/>
      <c r="E16" s="622" t="n"/>
      <c r="F16" s="622" t="n"/>
      <c r="G16" s="622" t="n"/>
      <c r="H16" s="622" t="n"/>
      <c r="I16" s="622" t="n"/>
      <c r="J16" s="622" t="n"/>
      <c r="K16" s="622" t="n"/>
      <c r="L16" s="622" t="n"/>
    </row>
    <row r="17" ht="20" customHeight="1">
      <c r="A17" s="621" t="inlineStr">
        <is>
          <t>NC-012</t>
        </is>
      </c>
      <c r="B17" s="623" t="n"/>
      <c r="C17" s="623" t="n"/>
      <c r="D17" s="623" t="n"/>
      <c r="E17" s="623" t="n"/>
      <c r="F17" s="623" t="n"/>
      <c r="G17" s="623" t="n"/>
      <c r="H17" s="623" t="n"/>
      <c r="I17" s="623" t="n"/>
      <c r="J17" s="623" t="n"/>
      <c r="K17" s="623" t="n"/>
      <c r="L17" s="623" t="n"/>
    </row>
    <row r="18" ht="20" customHeight="1">
      <c r="A18" s="621" t="inlineStr">
        <is>
          <t>NC-013</t>
        </is>
      </c>
      <c r="B18" s="622" t="n"/>
      <c r="C18" s="622" t="n"/>
      <c r="D18" s="622" t="n"/>
      <c r="E18" s="622" t="n"/>
      <c r="F18" s="622" t="n"/>
      <c r="G18" s="622" t="n"/>
      <c r="H18" s="622" t="n"/>
      <c r="I18" s="622" t="n"/>
      <c r="J18" s="622" t="n"/>
      <c r="K18" s="622" t="n"/>
      <c r="L18" s="622" t="n"/>
    </row>
    <row r="19" ht="20" customHeight="1">
      <c r="A19" s="621" t="inlineStr">
        <is>
          <t>NC-014</t>
        </is>
      </c>
      <c r="B19" s="623" t="n"/>
      <c r="C19" s="623" t="n"/>
      <c r="D19" s="623" t="n"/>
      <c r="E19" s="623" t="n"/>
      <c r="F19" s="623" t="n"/>
      <c r="G19" s="623" t="n"/>
      <c r="H19" s="623" t="n"/>
      <c r="I19" s="623" t="n"/>
      <c r="J19" s="623" t="n"/>
      <c r="K19" s="623" t="n"/>
      <c r="L19" s="623" t="n"/>
    </row>
    <row r="20" ht="20" customHeight="1">
      <c r="A20" s="621" t="inlineStr">
        <is>
          <t>NC-015</t>
        </is>
      </c>
      <c r="B20" s="622" t="n"/>
      <c r="C20" s="622" t="n"/>
      <c r="D20" s="622" t="n"/>
      <c r="E20" s="622" t="n"/>
      <c r="F20" s="622" t="n"/>
      <c r="G20" s="622" t="n"/>
      <c r="H20" s="622" t="n"/>
      <c r="I20" s="622" t="n"/>
      <c r="J20" s="622" t="n"/>
      <c r="K20" s="622" t="n"/>
      <c r="L20" s="622" t="n"/>
    </row>
    <row r="21" ht="20" customHeight="1">
      <c r="A21" s="621" t="inlineStr">
        <is>
          <t>NC-016</t>
        </is>
      </c>
      <c r="B21" s="623" t="n"/>
      <c r="C21" s="623" t="n"/>
      <c r="D21" s="623" t="n"/>
      <c r="E21" s="623" t="n"/>
      <c r="F21" s="623" t="n"/>
      <c r="G21" s="623" t="n"/>
      <c r="H21" s="623" t="n"/>
      <c r="I21" s="623" t="n"/>
      <c r="J21" s="623" t="n"/>
      <c r="K21" s="623" t="n"/>
      <c r="L21" s="623" t="n"/>
    </row>
    <row r="22" ht="20" customHeight="1">
      <c r="A22" s="621" t="inlineStr">
        <is>
          <t>NC-017</t>
        </is>
      </c>
      <c r="B22" s="622" t="n"/>
      <c r="C22" s="622" t="n"/>
      <c r="D22" s="622" t="n"/>
      <c r="E22" s="622" t="n"/>
      <c r="F22" s="622" t="n"/>
      <c r="G22" s="622" t="n"/>
      <c r="H22" s="622" t="n"/>
      <c r="I22" s="622" t="n"/>
      <c r="J22" s="622" t="n"/>
      <c r="K22" s="622" t="n"/>
      <c r="L22" s="622" t="n"/>
    </row>
    <row r="23" ht="20" customHeight="1">
      <c r="A23" s="621" t="inlineStr">
        <is>
          <t>NC-018</t>
        </is>
      </c>
      <c r="B23" s="623" t="n"/>
      <c r="C23" s="623" t="n"/>
      <c r="D23" s="623" t="n"/>
      <c r="E23" s="623" t="n"/>
      <c r="F23" s="623" t="n"/>
      <c r="G23" s="623" t="n"/>
      <c r="H23" s="623" t="n"/>
      <c r="I23" s="623" t="n"/>
      <c r="J23" s="623" t="n"/>
      <c r="K23" s="623" t="n"/>
      <c r="L23" s="623" t="n"/>
    </row>
    <row r="24" ht="20" customHeight="1">
      <c r="A24" s="621" t="inlineStr">
        <is>
          <t>NC-019</t>
        </is>
      </c>
      <c r="B24" s="622" t="n"/>
      <c r="C24" s="622" t="n"/>
      <c r="D24" s="622" t="n"/>
      <c r="E24" s="622" t="n"/>
      <c r="F24" s="622" t="n"/>
      <c r="G24" s="622" t="n"/>
      <c r="H24" s="622" t="n"/>
      <c r="I24" s="622" t="n"/>
      <c r="J24" s="622" t="n"/>
      <c r="K24" s="622" t="n"/>
      <c r="L24" s="622" t="n"/>
    </row>
    <row r="25" ht="20" customHeight="1">
      <c r="A25" s="621" t="inlineStr">
        <is>
          <t>NC-020</t>
        </is>
      </c>
      <c r="B25" s="623" t="n"/>
      <c r="C25" s="623" t="n"/>
      <c r="D25" s="623" t="n"/>
      <c r="E25" s="623" t="n"/>
      <c r="F25" s="623" t="n"/>
      <c r="G25" s="623" t="n"/>
      <c r="H25" s="623" t="n"/>
      <c r="I25" s="623" t="n"/>
      <c r="J25" s="623" t="n"/>
      <c r="K25" s="623" t="n"/>
      <c r="L25" s="623" t="n"/>
    </row>
    <row r="26"/>
    <row r="27" ht="22" customHeight="1">
      <c r="A27" s="173" t="inlineStr">
        <is>
          <t>📚 B. TRACKER PENDIDIKAN &amp; SKILL (Per Anak Per Bulan)</t>
        </is>
      </c>
      <c r="B27" s="171" t="n"/>
      <c r="C27" s="171" t="n"/>
      <c r="D27" s="171" t="n"/>
      <c r="E27" s="171" t="n"/>
      <c r="F27" s="171" t="n"/>
      <c r="G27" s="171" t="n"/>
      <c r="H27" s="171" t="n"/>
      <c r="I27" s="171" t="n"/>
      <c r="J27" s="171" t="n"/>
      <c r="K27" s="171" t="n"/>
      <c r="L27" s="172" t="n"/>
    </row>
    <row r="28" ht="28" customHeight="1">
      <c r="A28" s="195" t="inlineStr">
        <is>
          <t xml:space="preserve">  Isi nilai 1–5 untuk setiap bidang. 5 = Excellent, 1 = Butuh Bantuan Ekstra. Data ini muncul otomatis di Impact Dashboard donatur.</t>
        </is>
      </c>
      <c r="B28" s="171" t="n"/>
      <c r="C28" s="171" t="n"/>
      <c r="D28" s="171" t="n"/>
      <c r="E28" s="171" t="n"/>
      <c r="F28" s="171" t="n"/>
      <c r="G28" s="171" t="n"/>
      <c r="H28" s="171" t="n"/>
      <c r="I28" s="171" t="n"/>
      <c r="J28" s="171" t="n"/>
      <c r="K28" s="171" t="n"/>
      <c r="L28" s="172" t="n"/>
    </row>
    <row r="29" ht="26" customHeight="1">
      <c r="A29" s="174" t="inlineStr">
        <is>
          <t>ID Anak</t>
        </is>
      </c>
      <c r="B29" s="176" t="inlineStr">
        <is>
          <t>Nama</t>
        </is>
      </c>
      <c r="C29" s="176" t="inlineStr">
        <is>
          <t>Bulan</t>
        </is>
      </c>
      <c r="D29" s="176" t="inlineStr">
        <is>
          <t>Paket C
(Akademik)</t>
        </is>
      </c>
      <c r="E29" s="176" t="inlineStr">
        <is>
          <t>Skill
Kreatif</t>
        </is>
      </c>
      <c r="F29" s="176" t="inlineStr">
        <is>
          <t>Skill
Digital</t>
        </is>
      </c>
      <c r="G29" s="176" t="inlineStr">
        <is>
          <t>Skill
Pertanian</t>
        </is>
      </c>
      <c r="H29" s="176" t="inlineStr">
        <is>
          <t>Psikologi
&amp; Karakter</t>
        </is>
      </c>
      <c r="I29" s="176" t="inlineStr">
        <is>
          <t>Kepemimpinan</t>
        </is>
      </c>
      <c r="J29" s="176" t="inlineStr">
        <is>
          <t>Sosial</t>
        </is>
      </c>
      <c r="K29" s="176" t="inlineStr">
        <is>
          <t>Nilai
Rata2</t>
        </is>
      </c>
      <c r="L29" s="177" t="inlineStr">
        <is>
          <t>Status</t>
        </is>
      </c>
    </row>
    <row r="30" ht="18" customHeight="1">
      <c r="A30" s="624" t="inlineStr">
        <is>
          <t>NC-001</t>
        </is>
      </c>
      <c r="B30" s="625" t="n"/>
      <c r="C30" s="625" t="n"/>
      <c r="D30" s="626" t="n"/>
      <c r="E30" s="626" t="n"/>
      <c r="F30" s="626" t="n"/>
      <c r="G30" s="626" t="n"/>
      <c r="H30" s="626" t="n"/>
      <c r="I30" s="626" t="n"/>
      <c r="J30" s="626" t="n"/>
      <c r="K30" s="627">
        <f>IFERROR(AVERAGE(D30:J30),"")</f>
        <v/>
      </c>
      <c r="L30" s="628">
        <f>IFERROR(IF(K30&gt;=4,"🌟 Sangat Baik",IF(K30&gt;=3,"✅ Berkembang",IF(K30&gt;=2,"📈 Perlu Perhatian","⚠️ Perlu Intervensi"))),"—")</f>
        <v/>
      </c>
    </row>
    <row r="31" ht="18" customHeight="1">
      <c r="A31" s="624" t="inlineStr">
        <is>
          <t>NC-002</t>
        </is>
      </c>
      <c r="B31" s="629" t="n"/>
      <c r="C31" s="629" t="n"/>
      <c r="D31" s="626" t="n"/>
      <c r="E31" s="626" t="n"/>
      <c r="F31" s="626" t="n"/>
      <c r="G31" s="626" t="n"/>
      <c r="H31" s="626" t="n"/>
      <c r="I31" s="626" t="n"/>
      <c r="J31" s="626" t="n"/>
      <c r="K31" s="627">
        <f>IFERROR(AVERAGE(D31:J31),"")</f>
        <v/>
      </c>
      <c r="L31" s="628">
        <f>IFERROR(IF(K31&gt;=4,"🌟 Sangat Baik",IF(K31&gt;=3,"✅ Berkembang",IF(K31&gt;=2,"📈 Perlu Perhatian","⚠️ Perlu Intervensi"))),"—")</f>
        <v/>
      </c>
    </row>
    <row r="32" ht="18" customHeight="1">
      <c r="A32" s="624" t="inlineStr">
        <is>
          <t>NC-003</t>
        </is>
      </c>
      <c r="B32" s="625" t="n"/>
      <c r="C32" s="625" t="n"/>
      <c r="D32" s="626" t="n"/>
      <c r="E32" s="626" t="n"/>
      <c r="F32" s="626" t="n"/>
      <c r="G32" s="626" t="n"/>
      <c r="H32" s="626" t="n"/>
      <c r="I32" s="626" t="n"/>
      <c r="J32" s="626" t="n"/>
      <c r="K32" s="627">
        <f>IFERROR(AVERAGE(D32:J32),"")</f>
        <v/>
      </c>
      <c r="L32" s="628">
        <f>IFERROR(IF(K32&gt;=4,"🌟 Sangat Baik",IF(K32&gt;=3,"✅ Berkembang",IF(K32&gt;=2,"📈 Perlu Perhatian","⚠️ Perlu Intervensi"))),"—")</f>
        <v/>
      </c>
    </row>
    <row r="33" ht="18" customHeight="1">
      <c r="A33" s="624" t="inlineStr">
        <is>
          <t>NC-004</t>
        </is>
      </c>
      <c r="B33" s="629" t="n"/>
      <c r="C33" s="629" t="n"/>
      <c r="D33" s="626" t="n"/>
      <c r="E33" s="626" t="n"/>
      <c r="F33" s="626" t="n"/>
      <c r="G33" s="626" t="n"/>
      <c r="H33" s="626" t="n"/>
      <c r="I33" s="626" t="n"/>
      <c r="J33" s="626" t="n"/>
      <c r="K33" s="627">
        <f>IFERROR(AVERAGE(D33:J33),"")</f>
        <v/>
      </c>
      <c r="L33" s="628">
        <f>IFERROR(IF(K33&gt;=4,"🌟 Sangat Baik",IF(K33&gt;=3,"✅ Berkembang",IF(K33&gt;=2,"📈 Perlu Perhatian","⚠️ Perlu Intervensi"))),"—")</f>
        <v/>
      </c>
    </row>
    <row r="34" ht="18" customHeight="1">
      <c r="A34" s="624" t="inlineStr">
        <is>
          <t>NC-005</t>
        </is>
      </c>
      <c r="B34" s="625" t="n"/>
      <c r="C34" s="625" t="n"/>
      <c r="D34" s="626" t="n"/>
      <c r="E34" s="626" t="n"/>
      <c r="F34" s="626" t="n"/>
      <c r="G34" s="626" t="n"/>
      <c r="H34" s="626" t="n"/>
      <c r="I34" s="626" t="n"/>
      <c r="J34" s="626" t="n"/>
      <c r="K34" s="627">
        <f>IFERROR(AVERAGE(D34:J34),"")</f>
        <v/>
      </c>
      <c r="L34" s="628">
        <f>IFERROR(IF(K34&gt;=4,"🌟 Sangat Baik",IF(K34&gt;=3,"✅ Berkembang",IF(K34&gt;=2,"📈 Perlu Perhatian","⚠️ Perlu Intervensi"))),"—")</f>
        <v/>
      </c>
    </row>
    <row r="35" ht="18" customHeight="1">
      <c r="A35" s="624" t="inlineStr">
        <is>
          <t>NC-006</t>
        </is>
      </c>
      <c r="B35" s="629" t="n"/>
      <c r="C35" s="629" t="n"/>
      <c r="D35" s="626" t="n"/>
      <c r="E35" s="626" t="n"/>
      <c r="F35" s="626" t="n"/>
      <c r="G35" s="626" t="n"/>
      <c r="H35" s="626" t="n"/>
      <c r="I35" s="626" t="n"/>
      <c r="J35" s="626" t="n"/>
      <c r="K35" s="627">
        <f>IFERROR(AVERAGE(D35:J35),"")</f>
        <v/>
      </c>
      <c r="L35" s="628">
        <f>IFERROR(IF(K35&gt;=4,"🌟 Sangat Baik",IF(K35&gt;=3,"✅ Berkembang",IF(K35&gt;=2,"📈 Perlu Perhatian","⚠️ Perlu Intervensi"))),"—")</f>
        <v/>
      </c>
    </row>
    <row r="36" ht="18" customHeight="1">
      <c r="A36" s="624" t="inlineStr">
        <is>
          <t>NC-007</t>
        </is>
      </c>
      <c r="B36" s="625" t="n"/>
      <c r="C36" s="625" t="n"/>
      <c r="D36" s="626" t="n"/>
      <c r="E36" s="626" t="n"/>
      <c r="F36" s="626" t="n"/>
      <c r="G36" s="626" t="n"/>
      <c r="H36" s="626" t="n"/>
      <c r="I36" s="626" t="n"/>
      <c r="J36" s="626" t="n"/>
      <c r="K36" s="627">
        <f>IFERROR(AVERAGE(D36:J36),"")</f>
        <v/>
      </c>
      <c r="L36" s="628">
        <f>IFERROR(IF(K36&gt;=4,"🌟 Sangat Baik",IF(K36&gt;=3,"✅ Berkembang",IF(K36&gt;=2,"📈 Perlu Perhatian","⚠️ Perlu Intervensi"))),"—")</f>
        <v/>
      </c>
    </row>
    <row r="37" ht="18" customHeight="1">
      <c r="A37" s="624" t="inlineStr">
        <is>
          <t>NC-008</t>
        </is>
      </c>
      <c r="B37" s="629" t="n"/>
      <c r="C37" s="629" t="n"/>
      <c r="D37" s="626" t="n"/>
      <c r="E37" s="626" t="n"/>
      <c r="F37" s="626" t="n"/>
      <c r="G37" s="626" t="n"/>
      <c r="H37" s="626" t="n"/>
      <c r="I37" s="626" t="n"/>
      <c r="J37" s="626" t="n"/>
      <c r="K37" s="627">
        <f>IFERROR(AVERAGE(D37:J37),"")</f>
        <v/>
      </c>
      <c r="L37" s="628">
        <f>IFERROR(IF(K37&gt;=4,"🌟 Sangat Baik",IF(K37&gt;=3,"✅ Berkembang",IF(K37&gt;=2,"📈 Perlu Perhatian","⚠️ Perlu Intervensi"))),"—")</f>
        <v/>
      </c>
    </row>
    <row r="38" ht="18" customHeight="1">
      <c r="A38" s="624" t="inlineStr">
        <is>
          <t>NC-009</t>
        </is>
      </c>
      <c r="B38" s="625" t="n"/>
      <c r="C38" s="625" t="n"/>
      <c r="D38" s="626" t="n"/>
      <c r="E38" s="626" t="n"/>
      <c r="F38" s="626" t="n"/>
      <c r="G38" s="626" t="n"/>
      <c r="H38" s="626" t="n"/>
      <c r="I38" s="626" t="n"/>
      <c r="J38" s="626" t="n"/>
      <c r="K38" s="627">
        <f>IFERROR(AVERAGE(D38:J38),"")</f>
        <v/>
      </c>
      <c r="L38" s="628">
        <f>IFERROR(IF(K38&gt;=4,"🌟 Sangat Baik",IF(K38&gt;=3,"✅ Berkembang",IF(K38&gt;=2,"📈 Perlu Perhatian","⚠️ Perlu Intervensi"))),"—")</f>
        <v/>
      </c>
    </row>
    <row r="39" ht="18" customHeight="1">
      <c r="A39" s="624" t="inlineStr">
        <is>
          <t>NC-010</t>
        </is>
      </c>
      <c r="B39" s="629" t="n"/>
      <c r="C39" s="629" t="n"/>
      <c r="D39" s="626" t="n"/>
      <c r="E39" s="626" t="n"/>
      <c r="F39" s="626" t="n"/>
      <c r="G39" s="626" t="n"/>
      <c r="H39" s="626" t="n"/>
      <c r="I39" s="626" t="n"/>
      <c r="J39" s="626" t="n"/>
      <c r="K39" s="627">
        <f>IFERROR(AVERAGE(D39:J39),"")</f>
        <v/>
      </c>
      <c r="L39" s="628">
        <f>IFERROR(IF(K39&gt;=4,"🌟 Sangat Baik",IF(K39&gt;=3,"✅ Berkembang",IF(K39&gt;=2,"📈 Perlu Perhatian","⚠️ Perlu Intervensi"))),"—")</f>
        <v/>
      </c>
    </row>
    <row r="40" ht="18" customHeight="1">
      <c r="A40" s="624" t="inlineStr">
        <is>
          <t>NC-011</t>
        </is>
      </c>
      <c r="B40" s="625" t="n"/>
      <c r="C40" s="625" t="n"/>
      <c r="D40" s="626" t="n"/>
      <c r="E40" s="626" t="n"/>
      <c r="F40" s="626" t="n"/>
      <c r="G40" s="626" t="n"/>
      <c r="H40" s="626" t="n"/>
      <c r="I40" s="626" t="n"/>
      <c r="J40" s="626" t="n"/>
      <c r="K40" s="627">
        <f>IFERROR(AVERAGE(D40:J40),"")</f>
        <v/>
      </c>
      <c r="L40" s="628">
        <f>IFERROR(IF(K40&gt;=4,"🌟 Sangat Baik",IF(K40&gt;=3,"✅ Berkembang",IF(K40&gt;=2,"📈 Perlu Perhatian","⚠️ Perlu Intervensi"))),"—")</f>
        <v/>
      </c>
    </row>
    <row r="41" ht="18" customHeight="1">
      <c r="A41" s="624" t="inlineStr">
        <is>
          <t>NC-012</t>
        </is>
      </c>
      <c r="B41" s="629" t="n"/>
      <c r="C41" s="629" t="n"/>
      <c r="D41" s="626" t="n"/>
      <c r="E41" s="626" t="n"/>
      <c r="F41" s="626" t="n"/>
      <c r="G41" s="626" t="n"/>
      <c r="H41" s="626" t="n"/>
      <c r="I41" s="626" t="n"/>
      <c r="J41" s="626" t="n"/>
      <c r="K41" s="627">
        <f>IFERROR(AVERAGE(D41:J41),"")</f>
        <v/>
      </c>
      <c r="L41" s="628">
        <f>IFERROR(IF(K41&gt;=4,"🌟 Sangat Baik",IF(K41&gt;=3,"✅ Berkembang",IF(K41&gt;=2,"📈 Perlu Perhatian","⚠️ Perlu Intervensi"))),"—")</f>
        <v/>
      </c>
    </row>
    <row r="42" ht="18" customHeight="1">
      <c r="A42" s="624" t="inlineStr">
        <is>
          <t>NC-013</t>
        </is>
      </c>
      <c r="B42" s="625" t="n"/>
      <c r="C42" s="625" t="n"/>
      <c r="D42" s="626" t="n"/>
      <c r="E42" s="626" t="n"/>
      <c r="F42" s="626" t="n"/>
      <c r="G42" s="626" t="n"/>
      <c r="H42" s="626" t="n"/>
      <c r="I42" s="626" t="n"/>
      <c r="J42" s="626" t="n"/>
      <c r="K42" s="627">
        <f>IFERROR(AVERAGE(D42:J42),"")</f>
        <v/>
      </c>
      <c r="L42" s="628">
        <f>IFERROR(IF(K42&gt;=4,"🌟 Sangat Baik",IF(K42&gt;=3,"✅ Berkembang",IF(K42&gt;=2,"📈 Perlu Perhatian","⚠️ Perlu Intervensi"))),"—")</f>
        <v/>
      </c>
    </row>
    <row r="43" ht="18" customHeight="1">
      <c r="A43" s="624" t="inlineStr">
        <is>
          <t>NC-014</t>
        </is>
      </c>
      <c r="B43" s="629" t="n"/>
      <c r="C43" s="629" t="n"/>
      <c r="D43" s="626" t="n"/>
      <c r="E43" s="626" t="n"/>
      <c r="F43" s="626" t="n"/>
      <c r="G43" s="626" t="n"/>
      <c r="H43" s="626" t="n"/>
      <c r="I43" s="626" t="n"/>
      <c r="J43" s="626" t="n"/>
      <c r="K43" s="627">
        <f>IFERROR(AVERAGE(D43:J43),"")</f>
        <v/>
      </c>
      <c r="L43" s="628">
        <f>IFERROR(IF(K43&gt;=4,"🌟 Sangat Baik",IF(K43&gt;=3,"✅ Berkembang",IF(K43&gt;=2,"📈 Perlu Perhatian","⚠️ Perlu Intervensi"))),"—")</f>
        <v/>
      </c>
    </row>
    <row r="44" ht="18" customHeight="1">
      <c r="A44" s="624" t="inlineStr">
        <is>
          <t>NC-015</t>
        </is>
      </c>
      <c r="B44" s="625" t="n"/>
      <c r="C44" s="625" t="n"/>
      <c r="D44" s="626" t="n"/>
      <c r="E44" s="626" t="n"/>
      <c r="F44" s="626" t="n"/>
      <c r="G44" s="626" t="n"/>
      <c r="H44" s="626" t="n"/>
      <c r="I44" s="626" t="n"/>
      <c r="J44" s="626" t="n"/>
      <c r="K44" s="627">
        <f>IFERROR(AVERAGE(D44:J44),"")</f>
        <v/>
      </c>
      <c r="L44" s="628">
        <f>IFERROR(IF(K44&gt;=4,"🌟 Sangat Baik",IF(K44&gt;=3,"✅ Berkembang",IF(K44&gt;=2,"📈 Perlu Perhatian","⚠️ Perlu Intervensi"))),"—")</f>
        <v/>
      </c>
    </row>
    <row r="45" ht="18" customHeight="1">
      <c r="A45" s="624" t="inlineStr">
        <is>
          <t>NC-016</t>
        </is>
      </c>
      <c r="B45" s="629" t="n"/>
      <c r="C45" s="629" t="n"/>
      <c r="D45" s="626" t="n"/>
      <c r="E45" s="626" t="n"/>
      <c r="F45" s="626" t="n"/>
      <c r="G45" s="626" t="n"/>
      <c r="H45" s="626" t="n"/>
      <c r="I45" s="626" t="n"/>
      <c r="J45" s="626" t="n"/>
      <c r="K45" s="627">
        <f>IFERROR(AVERAGE(D45:J45),"")</f>
        <v/>
      </c>
      <c r="L45" s="628">
        <f>IFERROR(IF(K45&gt;=4,"🌟 Sangat Baik",IF(K45&gt;=3,"✅ Berkembang",IF(K45&gt;=2,"📈 Perlu Perhatian","⚠️ Perlu Intervensi"))),"—")</f>
        <v/>
      </c>
    </row>
    <row r="46" ht="18" customHeight="1">
      <c r="A46" s="624" t="inlineStr">
        <is>
          <t>NC-017</t>
        </is>
      </c>
      <c r="B46" s="625" t="n"/>
      <c r="C46" s="625" t="n"/>
      <c r="D46" s="626" t="n"/>
      <c r="E46" s="626" t="n"/>
      <c r="F46" s="626" t="n"/>
      <c r="G46" s="626" t="n"/>
      <c r="H46" s="626" t="n"/>
      <c r="I46" s="626" t="n"/>
      <c r="J46" s="626" t="n"/>
      <c r="K46" s="627">
        <f>IFERROR(AVERAGE(D46:J46),"")</f>
        <v/>
      </c>
      <c r="L46" s="628">
        <f>IFERROR(IF(K46&gt;=4,"🌟 Sangat Baik",IF(K46&gt;=3,"✅ Berkembang",IF(K46&gt;=2,"📈 Perlu Perhatian","⚠️ Perlu Intervensi"))),"—")</f>
        <v/>
      </c>
    </row>
    <row r="47" ht="18" customHeight="1">
      <c r="A47" s="624" t="inlineStr">
        <is>
          <t>NC-018</t>
        </is>
      </c>
      <c r="B47" s="629" t="n"/>
      <c r="C47" s="629" t="n"/>
      <c r="D47" s="626" t="n"/>
      <c r="E47" s="626" t="n"/>
      <c r="F47" s="626" t="n"/>
      <c r="G47" s="626" t="n"/>
      <c r="H47" s="626" t="n"/>
      <c r="I47" s="626" t="n"/>
      <c r="J47" s="626" t="n"/>
      <c r="K47" s="627">
        <f>IFERROR(AVERAGE(D47:J47),"")</f>
        <v/>
      </c>
      <c r="L47" s="628">
        <f>IFERROR(IF(K47&gt;=4,"🌟 Sangat Baik",IF(K47&gt;=3,"✅ Berkembang",IF(K47&gt;=2,"📈 Perlu Perhatian","⚠️ Perlu Intervensi"))),"—")</f>
        <v/>
      </c>
    </row>
    <row r="48" ht="18" customHeight="1">
      <c r="A48" s="624" t="inlineStr">
        <is>
          <t>NC-019</t>
        </is>
      </c>
      <c r="B48" s="625" t="n"/>
      <c r="C48" s="625" t="n"/>
      <c r="D48" s="626" t="n"/>
      <c r="E48" s="626" t="n"/>
      <c r="F48" s="626" t="n"/>
      <c r="G48" s="626" t="n"/>
      <c r="H48" s="626" t="n"/>
      <c r="I48" s="626" t="n"/>
      <c r="J48" s="626" t="n"/>
      <c r="K48" s="627">
        <f>IFERROR(AVERAGE(D48:J48),"")</f>
        <v/>
      </c>
      <c r="L48" s="628">
        <f>IFERROR(IF(K48&gt;=4,"🌟 Sangat Baik",IF(K48&gt;=3,"✅ Berkembang",IF(K48&gt;=2,"📈 Perlu Perhatian","⚠️ Perlu Intervensi"))),"—")</f>
        <v/>
      </c>
    </row>
    <row r="49" ht="18" customHeight="1">
      <c r="A49" s="624" t="inlineStr">
        <is>
          <t>NC-020</t>
        </is>
      </c>
      <c r="B49" s="629" t="n"/>
      <c r="C49" s="629" t="n"/>
      <c r="D49" s="626" t="n"/>
      <c r="E49" s="626" t="n"/>
      <c r="F49" s="626" t="n"/>
      <c r="G49" s="626" t="n"/>
      <c r="H49" s="626" t="n"/>
      <c r="I49" s="626" t="n"/>
      <c r="J49" s="626" t="n"/>
      <c r="K49" s="627">
        <f>IFERROR(AVERAGE(D49:J49),"")</f>
        <v/>
      </c>
      <c r="L49" s="628">
        <f>IFERROR(IF(K49&gt;=4,"🌟 Sangat Baik",IF(K49&gt;=3,"✅ Berkembang",IF(K49&gt;=2,"📈 Perlu Perhatian","⚠️ Perlu Intervensi"))),"—")</f>
        <v/>
      </c>
    </row>
    <row r="50"/>
    <row r="51" ht="22" customHeight="1">
      <c r="A51" s="173" t="inlineStr">
        <is>
          <t>✅ C. CHECKLIST PENGUASAAN SKILL FISIK (Penentu Porsi Bagi Hasil)</t>
        </is>
      </c>
      <c r="B51" s="171" t="n"/>
      <c r="C51" s="171" t="n"/>
      <c r="D51" s="171" t="n"/>
      <c r="E51" s="171" t="n"/>
      <c r="F51" s="171" t="n"/>
      <c r="G51" s="171" t="n"/>
      <c r="H51" s="171" t="n"/>
      <c r="I51" s="171" t="n"/>
      <c r="J51" s="171" t="n"/>
      <c r="K51" s="171" t="n"/>
      <c r="L51" s="172" t="n"/>
    </row>
    <row r="52" ht="26" customHeight="1">
      <c r="A52" s="174" t="inlineStr">
        <is>
          <t>ID</t>
        </is>
      </c>
      <c r="B52" s="176" t="inlineStr">
        <is>
          <t>Nama</t>
        </is>
      </c>
      <c r="C52" s="176" t="inlineStr">
        <is>
          <t>Lahan</t>
        </is>
      </c>
      <c r="D52" s="176" t="inlineStr">
        <is>
          <t>Bibit</t>
        </is>
      </c>
      <c r="E52" s="176" t="inlineStr">
        <is>
          <t>Irigasi</t>
        </is>
      </c>
      <c r="F52" s="176" t="inlineStr">
        <is>
          <t>Pupuk</t>
        </is>
      </c>
      <c r="G52" s="176" t="inlineStr">
        <is>
          <t>Hama</t>
        </is>
      </c>
      <c r="H52" s="176" t="inlineStr">
        <is>
          <t>Sortasi</t>
        </is>
      </c>
      <c r="I52" s="176" t="inlineStr">
        <is>
          <t>Alat</t>
        </is>
      </c>
      <c r="J52" s="176" t="inlineStr">
        <is>
          <t>Logbook</t>
        </is>
      </c>
      <c r="K52" s="176" t="inlineStr">
        <is>
          <t>Biaya</t>
        </is>
      </c>
      <c r="L52" s="177" t="inlineStr">
        <is>
          <t>Pimpin Tim</t>
        </is>
      </c>
    </row>
    <row r="53" ht="18" customHeight="1">
      <c r="A53" s="624" t="inlineStr">
        <is>
          <t>NC-001</t>
        </is>
      </c>
      <c r="B53" s="625" t="n"/>
      <c r="C53" s="630" t="n"/>
      <c r="D53" s="630" t="n"/>
      <c r="E53" s="630" t="n"/>
      <c r="F53" s="630" t="n"/>
      <c r="G53" s="630" t="n"/>
      <c r="H53" s="630" t="n"/>
      <c r="I53" s="630" t="n"/>
      <c r="J53" s="630" t="n"/>
      <c r="K53" s="630" t="n"/>
      <c r="L53" s="630" t="n"/>
    </row>
    <row r="54" ht="18" customHeight="1">
      <c r="A54" s="624" t="inlineStr">
        <is>
          <t>NC-002</t>
        </is>
      </c>
      <c r="B54" s="631" t="n"/>
      <c r="C54" s="632" t="n"/>
      <c r="D54" s="632" t="n"/>
      <c r="E54" s="632" t="n"/>
      <c r="F54" s="632" t="n"/>
      <c r="G54" s="632" t="n"/>
      <c r="H54" s="632" t="n"/>
      <c r="I54" s="632" t="n"/>
      <c r="J54" s="632" t="n"/>
      <c r="K54" s="632" t="n"/>
      <c r="L54" s="632" t="n"/>
    </row>
    <row r="55" ht="18" customHeight="1">
      <c r="A55" s="624" t="inlineStr">
        <is>
          <t>NC-003</t>
        </is>
      </c>
      <c r="B55" s="625" t="n"/>
      <c r="C55" s="630" t="n"/>
      <c r="D55" s="630" t="n"/>
      <c r="E55" s="630" t="n"/>
      <c r="F55" s="630" t="n"/>
      <c r="G55" s="630" t="n"/>
      <c r="H55" s="630" t="n"/>
      <c r="I55" s="630" t="n"/>
      <c r="J55" s="630" t="n"/>
      <c r="K55" s="630" t="n"/>
      <c r="L55" s="630" t="n"/>
    </row>
    <row r="56" ht="18" customHeight="1">
      <c r="A56" s="624" t="inlineStr">
        <is>
          <t>NC-004</t>
        </is>
      </c>
      <c r="B56" s="631" t="n"/>
      <c r="C56" s="632" t="n"/>
      <c r="D56" s="632" t="n"/>
      <c r="E56" s="632" t="n"/>
      <c r="F56" s="632" t="n"/>
      <c r="G56" s="632" t="n"/>
      <c r="H56" s="632" t="n"/>
      <c r="I56" s="632" t="n"/>
      <c r="J56" s="632" t="n"/>
      <c r="K56" s="632" t="n"/>
      <c r="L56" s="632" t="n"/>
    </row>
    <row r="57" ht="18" customHeight="1">
      <c r="A57" s="624" t="inlineStr">
        <is>
          <t>NC-005</t>
        </is>
      </c>
      <c r="B57" s="625" t="n"/>
      <c r="C57" s="630" t="n"/>
      <c r="D57" s="630" t="n"/>
      <c r="E57" s="630" t="n"/>
      <c r="F57" s="630" t="n"/>
      <c r="G57" s="630" t="n"/>
      <c r="H57" s="630" t="n"/>
      <c r="I57" s="630" t="n"/>
      <c r="J57" s="630" t="n"/>
      <c r="K57" s="630" t="n"/>
      <c r="L57" s="630" t="n"/>
    </row>
    <row r="58" ht="18" customHeight="1">
      <c r="A58" s="624" t="inlineStr">
        <is>
          <t>NC-006</t>
        </is>
      </c>
      <c r="B58" s="631" t="n"/>
      <c r="C58" s="632" t="n"/>
      <c r="D58" s="632" t="n"/>
      <c r="E58" s="632" t="n"/>
      <c r="F58" s="632" t="n"/>
      <c r="G58" s="632" t="n"/>
      <c r="H58" s="632" t="n"/>
      <c r="I58" s="632" t="n"/>
      <c r="J58" s="632" t="n"/>
      <c r="K58" s="632" t="n"/>
      <c r="L58" s="632" t="n"/>
    </row>
    <row r="59" ht="18" customHeight="1">
      <c r="A59" s="624" t="inlineStr">
        <is>
          <t>NC-007</t>
        </is>
      </c>
      <c r="B59" s="625" t="n"/>
      <c r="C59" s="630" t="n"/>
      <c r="D59" s="630" t="n"/>
      <c r="E59" s="630" t="n"/>
      <c r="F59" s="630" t="n"/>
      <c r="G59" s="630" t="n"/>
      <c r="H59" s="630" t="n"/>
      <c r="I59" s="630" t="n"/>
      <c r="J59" s="630" t="n"/>
      <c r="K59" s="630" t="n"/>
      <c r="L59" s="630" t="n"/>
    </row>
    <row r="60" ht="18" customHeight="1">
      <c r="A60" s="624" t="inlineStr">
        <is>
          <t>NC-008</t>
        </is>
      </c>
      <c r="B60" s="631" t="n"/>
      <c r="C60" s="632" t="n"/>
      <c r="D60" s="632" t="n"/>
      <c r="E60" s="632" t="n"/>
      <c r="F60" s="632" t="n"/>
      <c r="G60" s="632" t="n"/>
      <c r="H60" s="632" t="n"/>
      <c r="I60" s="632" t="n"/>
      <c r="J60" s="632" t="n"/>
      <c r="K60" s="632" t="n"/>
      <c r="L60" s="632" t="n"/>
    </row>
    <row r="61" ht="18" customHeight="1">
      <c r="A61" s="624" t="inlineStr">
        <is>
          <t>NC-009</t>
        </is>
      </c>
      <c r="B61" s="625" t="n"/>
      <c r="C61" s="630" t="n"/>
      <c r="D61" s="630" t="n"/>
      <c r="E61" s="630" t="n"/>
      <c r="F61" s="630" t="n"/>
      <c r="G61" s="630" t="n"/>
      <c r="H61" s="630" t="n"/>
      <c r="I61" s="630" t="n"/>
      <c r="J61" s="630" t="n"/>
      <c r="K61" s="630" t="n"/>
      <c r="L61" s="630" t="n"/>
    </row>
    <row r="62" ht="18" customHeight="1">
      <c r="A62" s="624" t="inlineStr">
        <is>
          <t>NC-010</t>
        </is>
      </c>
      <c r="B62" s="631" t="n"/>
      <c r="C62" s="632" t="n"/>
      <c r="D62" s="632" t="n"/>
      <c r="E62" s="632" t="n"/>
      <c r="F62" s="632" t="n"/>
      <c r="G62" s="632" t="n"/>
      <c r="H62" s="632" t="n"/>
      <c r="I62" s="632" t="n"/>
      <c r="J62" s="632" t="n"/>
      <c r="K62" s="632" t="n"/>
      <c r="L62" s="632" t="n"/>
    </row>
    <row r="63" ht="18" customHeight="1">
      <c r="A63" s="624" t="inlineStr">
        <is>
          <t>NC-011</t>
        </is>
      </c>
      <c r="B63" s="625" t="n"/>
      <c r="C63" s="630" t="n"/>
      <c r="D63" s="630" t="n"/>
      <c r="E63" s="630" t="n"/>
      <c r="F63" s="630" t="n"/>
      <c r="G63" s="630" t="n"/>
      <c r="H63" s="630" t="n"/>
      <c r="I63" s="630" t="n"/>
      <c r="J63" s="630" t="n"/>
      <c r="K63" s="630" t="n"/>
      <c r="L63" s="630" t="n"/>
    </row>
    <row r="64" ht="18" customHeight="1">
      <c r="A64" s="624" t="inlineStr">
        <is>
          <t>NC-012</t>
        </is>
      </c>
      <c r="B64" s="631" t="n"/>
      <c r="C64" s="632" t="n"/>
      <c r="D64" s="632" t="n"/>
      <c r="E64" s="632" t="n"/>
      <c r="F64" s="632" t="n"/>
      <c r="G64" s="632" t="n"/>
      <c r="H64" s="632" t="n"/>
      <c r="I64" s="632" t="n"/>
      <c r="J64" s="632" t="n"/>
      <c r="K64" s="632" t="n"/>
      <c r="L64" s="632" t="n"/>
    </row>
    <row r="65" ht="18" customHeight="1">
      <c r="A65" s="624" t="inlineStr">
        <is>
          <t>NC-013</t>
        </is>
      </c>
      <c r="B65" s="625" t="n"/>
      <c r="C65" s="630" t="n"/>
      <c r="D65" s="630" t="n"/>
      <c r="E65" s="630" t="n"/>
      <c r="F65" s="630" t="n"/>
      <c r="G65" s="630" t="n"/>
      <c r="H65" s="630" t="n"/>
      <c r="I65" s="630" t="n"/>
      <c r="J65" s="630" t="n"/>
      <c r="K65" s="630" t="n"/>
      <c r="L65" s="630" t="n"/>
    </row>
    <row r="66" ht="18" customHeight="1">
      <c r="A66" s="624" t="inlineStr">
        <is>
          <t>NC-014</t>
        </is>
      </c>
      <c r="B66" s="631" t="n"/>
      <c r="C66" s="632" t="n"/>
      <c r="D66" s="632" t="n"/>
      <c r="E66" s="632" t="n"/>
      <c r="F66" s="632" t="n"/>
      <c r="G66" s="632" t="n"/>
      <c r="H66" s="632" t="n"/>
      <c r="I66" s="632" t="n"/>
      <c r="J66" s="632" t="n"/>
      <c r="K66" s="632" t="n"/>
      <c r="L66" s="632" t="n"/>
    </row>
    <row r="67" ht="18" customHeight="1">
      <c r="A67" s="624" t="inlineStr">
        <is>
          <t>NC-015</t>
        </is>
      </c>
      <c r="B67" s="625" t="n"/>
      <c r="C67" s="630" t="n"/>
      <c r="D67" s="630" t="n"/>
      <c r="E67" s="630" t="n"/>
      <c r="F67" s="630" t="n"/>
      <c r="G67" s="630" t="n"/>
      <c r="H67" s="630" t="n"/>
      <c r="I67" s="630" t="n"/>
      <c r="J67" s="630" t="n"/>
      <c r="K67" s="630" t="n"/>
      <c r="L67" s="630" t="n"/>
    </row>
    <row r="68" ht="18" customHeight="1">
      <c r="A68" s="624" t="inlineStr">
        <is>
          <t>NC-016</t>
        </is>
      </c>
      <c r="B68" s="631" t="n"/>
      <c r="C68" s="632" t="n"/>
      <c r="D68" s="632" t="n"/>
      <c r="E68" s="632" t="n"/>
      <c r="F68" s="632" t="n"/>
      <c r="G68" s="632" t="n"/>
      <c r="H68" s="632" t="n"/>
      <c r="I68" s="632" t="n"/>
      <c r="J68" s="632" t="n"/>
      <c r="K68" s="632" t="n"/>
      <c r="L68" s="632" t="n"/>
    </row>
    <row r="69" ht="18" customHeight="1">
      <c r="A69" s="624" t="inlineStr">
        <is>
          <t>NC-017</t>
        </is>
      </c>
      <c r="B69" s="625" t="n"/>
      <c r="C69" s="630" t="n"/>
      <c r="D69" s="630" t="n"/>
      <c r="E69" s="630" t="n"/>
      <c r="F69" s="630" t="n"/>
      <c r="G69" s="630" t="n"/>
      <c r="H69" s="630" t="n"/>
      <c r="I69" s="630" t="n"/>
      <c r="J69" s="630" t="n"/>
      <c r="K69" s="630" t="n"/>
      <c r="L69" s="630" t="n"/>
    </row>
    <row r="70" ht="18" customHeight="1">
      <c r="A70" s="624" t="inlineStr">
        <is>
          <t>NC-018</t>
        </is>
      </c>
      <c r="B70" s="631" t="n"/>
      <c r="C70" s="632" t="n"/>
      <c r="D70" s="632" t="n"/>
      <c r="E70" s="632" t="n"/>
      <c r="F70" s="632" t="n"/>
      <c r="G70" s="632" t="n"/>
      <c r="H70" s="632" t="n"/>
      <c r="I70" s="632" t="n"/>
      <c r="J70" s="632" t="n"/>
      <c r="K70" s="632" t="n"/>
      <c r="L70" s="632" t="n"/>
    </row>
    <row r="71" ht="18" customHeight="1">
      <c r="A71" s="624" t="inlineStr">
        <is>
          <t>NC-019</t>
        </is>
      </c>
      <c r="B71" s="625" t="n"/>
      <c r="C71" s="630" t="n"/>
      <c r="D71" s="630" t="n"/>
      <c r="E71" s="630" t="n"/>
      <c r="F71" s="630" t="n"/>
      <c r="G71" s="630" t="n"/>
      <c r="H71" s="630" t="n"/>
      <c r="I71" s="630" t="n"/>
      <c r="J71" s="630" t="n"/>
      <c r="K71" s="630" t="n"/>
      <c r="L71" s="630" t="n"/>
    </row>
    <row r="72" ht="18" customHeight="1">
      <c r="A72" s="624" t="inlineStr">
        <is>
          <t>NC-020</t>
        </is>
      </c>
      <c r="B72" s="631" t="n"/>
      <c r="C72" s="632" t="n"/>
      <c r="D72" s="632" t="n"/>
      <c r="E72" s="632" t="n"/>
      <c r="F72" s="632" t="n"/>
      <c r="G72" s="632" t="n"/>
      <c r="H72" s="632" t="n"/>
      <c r="I72" s="632" t="n"/>
      <c r="J72" s="632" t="n"/>
      <c r="K72" s="632" t="n"/>
      <c r="L72" s="632" t="n"/>
    </row>
    <row r="73"/>
    <row r="74" ht="22" customHeight="1">
      <c r="A74" s="173" t="inlineStr">
        <is>
          <t>📊 D. LAPORAN BULANAN PROGRAM (Template Isi Tiap Bulan)</t>
        </is>
      </c>
      <c r="B74" s="171" t="n"/>
      <c r="C74" s="171" t="n"/>
      <c r="D74" s="171" t="n"/>
      <c r="E74" s="171" t="n"/>
      <c r="F74" s="171" t="n"/>
      <c r="G74" s="171" t="n"/>
      <c r="H74" s="171" t="n"/>
      <c r="I74" s="171" t="n"/>
      <c r="J74" s="171" t="n"/>
      <c r="K74" s="171" t="n"/>
      <c r="L74" s="172" t="n"/>
    </row>
    <row r="75" ht="26" customHeight="1">
      <c r="A75" s="174" t="inlineStr">
        <is>
          <t>Bulan</t>
        </is>
      </c>
      <c r="B75" s="176" t="inlineStr">
        <is>
          <t>Jml Anak
Aktif</t>
        </is>
      </c>
      <c r="C75" s="176" t="inlineStr">
        <is>
          <t>Absensi
Kelas (%)</t>
        </is>
      </c>
      <c r="D75" s="176" t="inlineStr">
        <is>
          <t>Panen
Kebun (kg)</t>
        </is>
      </c>
      <c r="E75" s="176" t="inlineStr">
        <is>
          <t>Telur
(butir/bln)</t>
        </is>
      </c>
      <c r="F75" s="176" t="inlineStr">
        <is>
          <t>Produk
Terjual</t>
        </is>
      </c>
      <c r="G75" s="176" t="inlineStr">
        <is>
          <t>Pendapatan
(Rp)</t>
        </is>
      </c>
      <c r="H75" s="176" t="inlineStr">
        <is>
          <t>Donasi
Masuk (Rp)</t>
        </is>
      </c>
      <c r="I75" s="176" t="inlineStr">
        <is>
          <t>Pengeluaran
(Rp)</t>
        </is>
      </c>
      <c r="J75" s="176" t="inlineStr">
        <is>
          <t>Saldo
(Rp)</t>
        </is>
      </c>
      <c r="K75" s="176" t="inlineStr">
        <is>
          <t>Highlight
Bulan Ini</t>
        </is>
      </c>
      <c r="L75" s="177" t="inlineStr">
        <is>
          <t>Update
Donatur</t>
        </is>
      </c>
    </row>
    <row r="76" ht="20" customHeight="1">
      <c r="A76" s="621" t="inlineStr">
        <is>
          <t>Jan 2025</t>
        </is>
      </c>
      <c r="B76" s="623" t="n"/>
      <c r="C76" s="623" t="n"/>
      <c r="D76" s="623" t="n"/>
      <c r="E76" s="623" t="n"/>
      <c r="F76" s="623" t="n"/>
      <c r="G76" s="623" t="n"/>
      <c r="H76" s="623" t="n"/>
      <c r="I76" s="623" t="n"/>
      <c r="J76" s="633">
        <f>IFERROR(H76+G76-I76,"")</f>
        <v/>
      </c>
      <c r="K76" s="623" t="n"/>
      <c r="L76" s="623" t="n"/>
    </row>
    <row r="77" ht="20" customHeight="1">
      <c r="A77" s="621" t="inlineStr">
        <is>
          <t>Feb 2025</t>
        </is>
      </c>
      <c r="B77" s="622" t="n"/>
      <c r="C77" s="622" t="n"/>
      <c r="D77" s="622" t="n"/>
      <c r="E77" s="622" t="n"/>
      <c r="F77" s="622" t="n"/>
      <c r="G77" s="622" t="n"/>
      <c r="H77" s="622" t="n"/>
      <c r="I77" s="622" t="n"/>
      <c r="J77" s="633">
        <f>IFERROR(H77+G77-I77,"")</f>
        <v/>
      </c>
      <c r="K77" s="622" t="n"/>
      <c r="L77" s="622" t="n"/>
    </row>
    <row r="78" ht="20" customHeight="1">
      <c r="A78" s="621" t="inlineStr">
        <is>
          <t>Mar 2025</t>
        </is>
      </c>
      <c r="B78" s="623" t="n"/>
      <c r="C78" s="623" t="n"/>
      <c r="D78" s="623" t="n"/>
      <c r="E78" s="623" t="n"/>
      <c r="F78" s="623" t="n"/>
      <c r="G78" s="623" t="n"/>
      <c r="H78" s="623" t="n"/>
      <c r="I78" s="623" t="n"/>
      <c r="J78" s="633">
        <f>IFERROR(H78+G78-I78,"")</f>
        <v/>
      </c>
      <c r="K78" s="623" t="n"/>
      <c r="L78" s="623" t="n"/>
    </row>
    <row r="79" ht="20" customHeight="1">
      <c r="A79" s="621" t="inlineStr">
        <is>
          <t>Apr 2025</t>
        </is>
      </c>
      <c r="B79" s="622" t="n"/>
      <c r="C79" s="622" t="n"/>
      <c r="D79" s="622" t="n"/>
      <c r="E79" s="622" t="n"/>
      <c r="F79" s="622" t="n"/>
      <c r="G79" s="622" t="n"/>
      <c r="H79" s="622" t="n"/>
      <c r="I79" s="622" t="n"/>
      <c r="J79" s="633">
        <f>IFERROR(H79+G79-I79,"")</f>
        <v/>
      </c>
      <c r="K79" s="622" t="n"/>
      <c r="L79" s="622" t="n"/>
    </row>
    <row r="80" ht="20" customHeight="1">
      <c r="A80" s="621" t="inlineStr">
        <is>
          <t>Mei 2025</t>
        </is>
      </c>
      <c r="B80" s="623" t="n"/>
      <c r="C80" s="623" t="n"/>
      <c r="D80" s="623" t="n"/>
      <c r="E80" s="623" t="n"/>
      <c r="F80" s="623" t="n"/>
      <c r="G80" s="623" t="n"/>
      <c r="H80" s="623" t="n"/>
      <c r="I80" s="623" t="n"/>
      <c r="J80" s="633">
        <f>IFERROR(H80+G80-I80,"")</f>
        <v/>
      </c>
      <c r="K80" s="623" t="n"/>
      <c r="L80" s="623" t="n"/>
    </row>
    <row r="81" ht="20" customHeight="1">
      <c r="A81" s="621" t="inlineStr">
        <is>
          <t>Jun 2025</t>
        </is>
      </c>
      <c r="B81" s="622" t="n"/>
      <c r="C81" s="622" t="n"/>
      <c r="D81" s="622" t="n"/>
      <c r="E81" s="622" t="n"/>
      <c r="F81" s="622" t="n"/>
      <c r="G81" s="622" t="n"/>
      <c r="H81" s="622" t="n"/>
      <c r="I81" s="622" t="n"/>
      <c r="J81" s="633">
        <f>IFERROR(H81+G81-I81,"")</f>
        <v/>
      </c>
      <c r="K81" s="622" t="n"/>
      <c r="L81" s="622" t="n"/>
    </row>
    <row r="82" ht="20" customHeight="1">
      <c r="A82" s="621" t="inlineStr">
        <is>
          <t>Jul 2025</t>
        </is>
      </c>
      <c r="B82" s="623" t="n"/>
      <c r="C82" s="623" t="n"/>
      <c r="D82" s="623" t="n"/>
      <c r="E82" s="623" t="n"/>
      <c r="F82" s="623" t="n"/>
      <c r="G82" s="623" t="n"/>
      <c r="H82" s="623" t="n"/>
      <c r="I82" s="623" t="n"/>
      <c r="J82" s="633">
        <f>IFERROR(H82+G82-I82,"")</f>
        <v/>
      </c>
      <c r="K82" s="623" t="n"/>
      <c r="L82" s="623" t="n"/>
    </row>
    <row r="83" ht="20" customHeight="1">
      <c r="A83" s="621" t="inlineStr">
        <is>
          <t>Agu 2025</t>
        </is>
      </c>
      <c r="B83" s="622" t="n"/>
      <c r="C83" s="622" t="n"/>
      <c r="D83" s="622" t="n"/>
      <c r="E83" s="622" t="n"/>
      <c r="F83" s="622" t="n"/>
      <c r="G83" s="622" t="n"/>
      <c r="H83" s="622" t="n"/>
      <c r="I83" s="622" t="n"/>
      <c r="J83" s="633">
        <f>IFERROR(H83+G83-I83,"")</f>
        <v/>
      </c>
      <c r="K83" s="622" t="n"/>
      <c r="L83" s="622" t="n"/>
    </row>
    <row r="84" ht="20" customHeight="1">
      <c r="A84" s="621" t="inlineStr">
        <is>
          <t>Sep 2025</t>
        </is>
      </c>
      <c r="B84" s="623" t="n"/>
      <c r="C84" s="623" t="n"/>
      <c r="D84" s="623" t="n"/>
      <c r="E84" s="623" t="n"/>
      <c r="F84" s="623" t="n"/>
      <c r="G84" s="623" t="n"/>
      <c r="H84" s="623" t="n"/>
      <c r="I84" s="623" t="n"/>
      <c r="J84" s="633">
        <f>IFERROR(H84+G84-I84,"")</f>
        <v/>
      </c>
      <c r="K84" s="623" t="n"/>
      <c r="L84" s="623" t="n"/>
    </row>
    <row r="85" ht="20" customHeight="1">
      <c r="A85" s="621" t="inlineStr">
        <is>
          <t>Okt 2025</t>
        </is>
      </c>
      <c r="B85" s="622" t="n"/>
      <c r="C85" s="622" t="n"/>
      <c r="D85" s="622" t="n"/>
      <c r="E85" s="622" t="n"/>
      <c r="F85" s="622" t="n"/>
      <c r="G85" s="622" t="n"/>
      <c r="H85" s="622" t="n"/>
      <c r="I85" s="622" t="n"/>
      <c r="J85" s="633">
        <f>IFERROR(H85+G85-I85,"")</f>
        <v/>
      </c>
      <c r="K85" s="622" t="n"/>
      <c r="L85" s="622" t="n"/>
    </row>
    <row r="86" ht="20" customHeight="1">
      <c r="A86" s="621" t="inlineStr">
        <is>
          <t>Nov 2025</t>
        </is>
      </c>
      <c r="B86" s="623" t="n"/>
      <c r="C86" s="623" t="n"/>
      <c r="D86" s="623" t="n"/>
      <c r="E86" s="623" t="n"/>
      <c r="F86" s="623" t="n"/>
      <c r="G86" s="623" t="n"/>
      <c r="H86" s="623" t="n"/>
      <c r="I86" s="623" t="n"/>
      <c r="J86" s="633">
        <f>IFERROR(H86+G86-I86,"")</f>
        <v/>
      </c>
      <c r="K86" s="623" t="n"/>
      <c r="L86" s="623" t="n"/>
    </row>
    <row r="87" ht="20" customHeight="1">
      <c r="A87" s="621" t="inlineStr">
        <is>
          <t>Des 2025</t>
        </is>
      </c>
      <c r="B87" s="622" t="n"/>
      <c r="C87" s="622" t="n"/>
      <c r="D87" s="622" t="n"/>
      <c r="E87" s="622" t="n"/>
      <c r="F87" s="622" t="n"/>
      <c r="G87" s="622" t="n"/>
      <c r="H87" s="622" t="n"/>
      <c r="I87" s="622" t="n"/>
      <c r="J87" s="633">
        <f>IFERROR(H87+G87-I87,"")</f>
        <v/>
      </c>
      <c r="K87" s="622" t="n"/>
      <c r="L87" s="622" t="n"/>
    </row>
  </sheetData>
  <mergeCells count="7">
    <mergeCell ref="A2:L2"/>
    <mergeCell ref="A51:L51"/>
    <mergeCell ref="A1:L1"/>
    <mergeCell ref="A28:L28"/>
    <mergeCell ref="A74:L74"/>
    <mergeCell ref="A27:L27"/>
    <mergeCell ref="A4:L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2" customWidth="1" min="11" max="11"/>
    <col width="14" customWidth="1" min="12" max="12"/>
  </cols>
  <sheetData>
    <row r="1" ht="42" customHeight="1">
      <c r="A1" s="620" t="inlineStr">
        <is>
          <t>🤝 DATABASE RELAWAN &amp; MENTOR — NAWA CAHAYA</t>
        </is>
      </c>
    </row>
    <row r="2" ht="18" customHeight="1">
      <c r="A2" s="169" t="inlineStr">
        <is>
          <t>Daftar Relawan Aktif · Mentor Program · Status &amp; Jadwal · Terintegrasi Form Online</t>
        </is>
      </c>
    </row>
    <row r="3"/>
    <row r="4" ht="28" customHeight="1">
      <c r="A4" s="634" t="inlineStr">
        <is>
          <t xml:space="preserve">  🔗 LINK FORM PENDAFTARAN RELAWAN/MENTOR: [Paste URL Google Form / Apps Script di sini]  → Data otomatis masuk ke tabel ini via Apps Script.</t>
        </is>
      </c>
      <c r="B4" s="635" t="n"/>
      <c r="C4" s="635" t="n"/>
      <c r="D4" s="635" t="n"/>
      <c r="E4" s="635" t="n"/>
      <c r="F4" s="635" t="n"/>
      <c r="G4" s="635" t="n"/>
      <c r="H4" s="635" t="n"/>
      <c r="I4" s="635" t="n"/>
      <c r="J4" s="635" t="n"/>
      <c r="K4" s="635" t="n"/>
      <c r="L4" s="636" t="n"/>
    </row>
    <row r="5" ht="22" customHeight="1">
      <c r="A5" s="173" t="inlineStr">
        <is>
          <t>📋 A. DATA RELAWAN &amp; MENTOR AKTIF</t>
        </is>
      </c>
      <c r="B5" s="171" t="n"/>
      <c r="C5" s="171" t="n"/>
      <c r="D5" s="171" t="n"/>
      <c r="E5" s="171" t="n"/>
      <c r="F5" s="171" t="n"/>
      <c r="G5" s="171" t="n"/>
      <c r="H5" s="171" t="n"/>
      <c r="I5" s="171" t="n"/>
      <c r="J5" s="171" t="n"/>
      <c r="K5" s="171" t="n"/>
      <c r="L5" s="172" t="n"/>
    </row>
    <row r="6" ht="26" customHeight="1">
      <c r="A6" s="174" t="inlineStr">
        <is>
          <t>ID</t>
        </is>
      </c>
      <c r="B6" s="176" t="inlineStr">
        <is>
          <t>Nama Lengkap</t>
        </is>
      </c>
      <c r="C6" s="176" t="inlineStr">
        <is>
          <t>No. WhatsApp</t>
        </is>
      </c>
      <c r="D6" s="176" t="inlineStr">
        <is>
          <t>Email</t>
        </is>
      </c>
      <c r="E6" s="176" t="inlineStr">
        <is>
          <t>Instagram / Medsos</t>
        </is>
      </c>
      <c r="F6" s="176" t="inlineStr">
        <is>
          <t>Bidang Keahlian</t>
        </is>
      </c>
      <c r="G6" s="176" t="inlineStr">
        <is>
          <t>Instansi / Asal</t>
        </is>
      </c>
      <c r="H6" s="176" t="inlineStr">
        <is>
          <t>Tgl Bergabung</t>
        </is>
      </c>
      <c r="I6" s="176" t="inlineStr">
        <is>
          <t>Status</t>
        </is>
      </c>
      <c r="J6" s="176" t="inlineStr">
        <is>
          <t>Jenis</t>
        </is>
      </c>
      <c r="K6" s="176" t="inlineStr">
        <is>
          <t>Catatan / Kontrak</t>
        </is>
      </c>
      <c r="L6" s="177" t="inlineStr">
        <is>
          <t>Update</t>
        </is>
      </c>
    </row>
    <row r="7" ht="20" customHeight="1">
      <c r="A7" s="621" t="inlineStr">
        <is>
          <t>REL-001</t>
        </is>
      </c>
      <c r="B7" s="622" t="n"/>
      <c r="C7" s="622" t="n"/>
      <c r="D7" s="622" t="n"/>
      <c r="E7" s="622" t="n"/>
      <c r="F7" s="622" t="n"/>
      <c r="G7" s="622" t="n"/>
      <c r="H7" s="622" t="n"/>
      <c r="I7" s="622" t="n"/>
      <c r="J7" s="622" t="n"/>
      <c r="K7" s="622" t="n"/>
      <c r="L7" s="622" t="n"/>
    </row>
    <row r="8" ht="20" customHeight="1">
      <c r="A8" s="621" t="inlineStr">
        <is>
          <t>REL-002</t>
        </is>
      </c>
      <c r="B8" s="623" t="n"/>
      <c r="C8" s="623" t="n"/>
      <c r="D8" s="623" t="n"/>
      <c r="E8" s="623" t="n"/>
      <c r="F8" s="623" t="n"/>
      <c r="G8" s="623" t="n"/>
      <c r="H8" s="623" t="n"/>
      <c r="I8" s="623" t="n"/>
      <c r="J8" s="623" t="n"/>
      <c r="K8" s="623" t="n"/>
      <c r="L8" s="623" t="n"/>
    </row>
    <row r="9" ht="20" customHeight="1">
      <c r="A9" s="621" t="inlineStr">
        <is>
          <t>REL-003</t>
        </is>
      </c>
      <c r="B9" s="622" t="n"/>
      <c r="C9" s="622" t="n"/>
      <c r="D9" s="622" t="n"/>
      <c r="E9" s="622" t="n"/>
      <c r="F9" s="622" t="n"/>
      <c r="G9" s="622" t="n"/>
      <c r="H9" s="622" t="n"/>
      <c r="I9" s="622" t="n"/>
      <c r="J9" s="622" t="n"/>
      <c r="K9" s="622" t="n"/>
      <c r="L9" s="622" t="n"/>
    </row>
    <row r="10" ht="20" customHeight="1">
      <c r="A10" s="621" t="inlineStr">
        <is>
          <t>REL-004</t>
        </is>
      </c>
      <c r="B10" s="623" t="n"/>
      <c r="C10" s="623" t="n"/>
      <c r="D10" s="623" t="n"/>
      <c r="E10" s="623" t="n"/>
      <c r="F10" s="623" t="n"/>
      <c r="G10" s="623" t="n"/>
      <c r="H10" s="623" t="n"/>
      <c r="I10" s="623" t="n"/>
      <c r="J10" s="623" t="n"/>
      <c r="K10" s="623" t="n"/>
      <c r="L10" s="623" t="n"/>
    </row>
    <row r="11" ht="20" customHeight="1">
      <c r="A11" s="621" t="inlineStr">
        <is>
          <t>REL-005</t>
        </is>
      </c>
      <c r="B11" s="622" t="n"/>
      <c r="C11" s="622" t="n"/>
      <c r="D11" s="622" t="n"/>
      <c r="E11" s="622" t="n"/>
      <c r="F11" s="622" t="n"/>
      <c r="G11" s="622" t="n"/>
      <c r="H11" s="622" t="n"/>
      <c r="I11" s="622" t="n"/>
      <c r="J11" s="622" t="n"/>
      <c r="K11" s="622" t="n"/>
      <c r="L11" s="622" t="n"/>
    </row>
    <row r="12" ht="20" customHeight="1">
      <c r="A12" s="621" t="inlineStr">
        <is>
          <t>REL-006</t>
        </is>
      </c>
      <c r="B12" s="623" t="n"/>
      <c r="C12" s="623" t="n"/>
      <c r="D12" s="623" t="n"/>
      <c r="E12" s="623" t="n"/>
      <c r="F12" s="623" t="n"/>
      <c r="G12" s="623" t="n"/>
      <c r="H12" s="623" t="n"/>
      <c r="I12" s="623" t="n"/>
      <c r="J12" s="623" t="n"/>
      <c r="K12" s="623" t="n"/>
      <c r="L12" s="623" t="n"/>
    </row>
    <row r="13" ht="20" customHeight="1">
      <c r="A13" s="621" t="inlineStr">
        <is>
          <t>REL-007</t>
        </is>
      </c>
      <c r="B13" s="622" t="n"/>
      <c r="C13" s="622" t="n"/>
      <c r="D13" s="622" t="n"/>
      <c r="E13" s="622" t="n"/>
      <c r="F13" s="622" t="n"/>
      <c r="G13" s="622" t="n"/>
      <c r="H13" s="622" t="n"/>
      <c r="I13" s="622" t="n"/>
      <c r="J13" s="622" t="n"/>
      <c r="K13" s="622" t="n"/>
      <c r="L13" s="622" t="n"/>
    </row>
    <row r="14" ht="20" customHeight="1">
      <c r="A14" s="621" t="inlineStr">
        <is>
          <t>REL-008</t>
        </is>
      </c>
      <c r="B14" s="623" t="n"/>
      <c r="C14" s="623" t="n"/>
      <c r="D14" s="623" t="n"/>
      <c r="E14" s="623" t="n"/>
      <c r="F14" s="623" t="n"/>
      <c r="G14" s="623" t="n"/>
      <c r="H14" s="623" t="n"/>
      <c r="I14" s="623" t="n"/>
      <c r="J14" s="623" t="n"/>
      <c r="K14" s="623" t="n"/>
      <c r="L14" s="623" t="n"/>
    </row>
    <row r="15" ht="20" customHeight="1">
      <c r="A15" s="621" t="inlineStr">
        <is>
          <t>REL-009</t>
        </is>
      </c>
      <c r="B15" s="622" t="n"/>
      <c r="C15" s="622" t="n"/>
      <c r="D15" s="622" t="n"/>
      <c r="E15" s="622" t="n"/>
      <c r="F15" s="622" t="n"/>
      <c r="G15" s="622" t="n"/>
      <c r="H15" s="622" t="n"/>
      <c r="I15" s="622" t="n"/>
      <c r="J15" s="622" t="n"/>
      <c r="K15" s="622" t="n"/>
      <c r="L15" s="622" t="n"/>
    </row>
    <row r="16" ht="20" customHeight="1">
      <c r="A16" s="621" t="inlineStr">
        <is>
          <t>REL-010</t>
        </is>
      </c>
      <c r="B16" s="623" t="n"/>
      <c r="C16" s="623" t="n"/>
      <c r="D16" s="623" t="n"/>
      <c r="E16" s="623" t="n"/>
      <c r="F16" s="623" t="n"/>
      <c r="G16" s="623" t="n"/>
      <c r="H16" s="623" t="n"/>
      <c r="I16" s="623" t="n"/>
      <c r="J16" s="623" t="n"/>
      <c r="K16" s="623" t="n"/>
      <c r="L16" s="623" t="n"/>
    </row>
    <row r="17" ht="20" customHeight="1">
      <c r="A17" s="621" t="inlineStr">
        <is>
          <t>REL-011</t>
        </is>
      </c>
      <c r="B17" s="622" t="n"/>
      <c r="C17" s="622" t="n"/>
      <c r="D17" s="622" t="n"/>
      <c r="E17" s="622" t="n"/>
      <c r="F17" s="622" t="n"/>
      <c r="G17" s="622" t="n"/>
      <c r="H17" s="622" t="n"/>
      <c r="I17" s="622" t="n"/>
      <c r="J17" s="622" t="n"/>
      <c r="K17" s="622" t="n"/>
      <c r="L17" s="622" t="n"/>
    </row>
    <row r="18" ht="20" customHeight="1">
      <c r="A18" s="621" t="inlineStr">
        <is>
          <t>REL-012</t>
        </is>
      </c>
      <c r="B18" s="623" t="n"/>
      <c r="C18" s="623" t="n"/>
      <c r="D18" s="623" t="n"/>
      <c r="E18" s="623" t="n"/>
      <c r="F18" s="623" t="n"/>
      <c r="G18" s="623" t="n"/>
      <c r="H18" s="623" t="n"/>
      <c r="I18" s="623" t="n"/>
      <c r="J18" s="623" t="n"/>
      <c r="K18" s="623" t="n"/>
      <c r="L18" s="623" t="n"/>
    </row>
    <row r="19" ht="20" customHeight="1">
      <c r="A19" s="621" t="inlineStr">
        <is>
          <t>REL-013</t>
        </is>
      </c>
      <c r="B19" s="622" t="n"/>
      <c r="C19" s="622" t="n"/>
      <c r="D19" s="622" t="n"/>
      <c r="E19" s="622" t="n"/>
      <c r="F19" s="622" t="n"/>
      <c r="G19" s="622" t="n"/>
      <c r="H19" s="622" t="n"/>
      <c r="I19" s="622" t="n"/>
      <c r="J19" s="622" t="n"/>
      <c r="K19" s="622" t="n"/>
      <c r="L19" s="622" t="n"/>
    </row>
    <row r="20" ht="20" customHeight="1">
      <c r="A20" s="621" t="inlineStr">
        <is>
          <t>REL-014</t>
        </is>
      </c>
      <c r="B20" s="623" t="n"/>
      <c r="C20" s="623" t="n"/>
      <c r="D20" s="623" t="n"/>
      <c r="E20" s="623" t="n"/>
      <c r="F20" s="623" t="n"/>
      <c r="G20" s="623" t="n"/>
      <c r="H20" s="623" t="n"/>
      <c r="I20" s="623" t="n"/>
      <c r="J20" s="623" t="n"/>
      <c r="K20" s="623" t="n"/>
      <c r="L20" s="623" t="n"/>
    </row>
    <row r="21" ht="20" customHeight="1">
      <c r="A21" s="621" t="inlineStr">
        <is>
          <t>REL-015</t>
        </is>
      </c>
      <c r="B21" s="622" t="n"/>
      <c r="C21" s="622" t="n"/>
      <c r="D21" s="622" t="n"/>
      <c r="E21" s="622" t="n"/>
      <c r="F21" s="622" t="n"/>
      <c r="G21" s="622" t="n"/>
      <c r="H21" s="622" t="n"/>
      <c r="I21" s="622" t="n"/>
      <c r="J21" s="622" t="n"/>
      <c r="K21" s="622" t="n"/>
      <c r="L21" s="622" t="n"/>
    </row>
    <row r="22" ht="20" customHeight="1">
      <c r="A22" s="621" t="inlineStr">
        <is>
          <t>REL-016</t>
        </is>
      </c>
      <c r="B22" s="623" t="n"/>
      <c r="C22" s="623" t="n"/>
      <c r="D22" s="623" t="n"/>
      <c r="E22" s="623" t="n"/>
      <c r="F22" s="623" t="n"/>
      <c r="G22" s="623" t="n"/>
      <c r="H22" s="623" t="n"/>
      <c r="I22" s="623" t="n"/>
      <c r="J22" s="623" t="n"/>
      <c r="K22" s="623" t="n"/>
      <c r="L22" s="623" t="n"/>
    </row>
    <row r="23" ht="20" customHeight="1">
      <c r="A23" s="621" t="inlineStr">
        <is>
          <t>REL-017</t>
        </is>
      </c>
      <c r="B23" s="622" t="n"/>
      <c r="C23" s="622" t="n"/>
      <c r="D23" s="622" t="n"/>
      <c r="E23" s="622" t="n"/>
      <c r="F23" s="622" t="n"/>
      <c r="G23" s="622" t="n"/>
      <c r="H23" s="622" t="n"/>
      <c r="I23" s="622" t="n"/>
      <c r="J23" s="622" t="n"/>
      <c r="K23" s="622" t="n"/>
      <c r="L23" s="622" t="n"/>
    </row>
    <row r="24" ht="20" customHeight="1">
      <c r="A24" s="621" t="inlineStr">
        <is>
          <t>REL-018</t>
        </is>
      </c>
      <c r="B24" s="623" t="n"/>
      <c r="C24" s="623" t="n"/>
      <c r="D24" s="623" t="n"/>
      <c r="E24" s="623" t="n"/>
      <c r="F24" s="623" t="n"/>
      <c r="G24" s="623" t="n"/>
      <c r="H24" s="623" t="n"/>
      <c r="I24" s="623" t="n"/>
      <c r="J24" s="623" t="n"/>
      <c r="K24" s="623" t="n"/>
      <c r="L24" s="623" t="n"/>
    </row>
    <row r="25" ht="20" customHeight="1">
      <c r="A25" s="621" t="inlineStr">
        <is>
          <t>REL-019</t>
        </is>
      </c>
      <c r="B25" s="622" t="n"/>
      <c r="C25" s="622" t="n"/>
      <c r="D25" s="622" t="n"/>
      <c r="E25" s="622" t="n"/>
      <c r="F25" s="622" t="n"/>
      <c r="G25" s="622" t="n"/>
      <c r="H25" s="622" t="n"/>
      <c r="I25" s="622" t="n"/>
      <c r="J25" s="622" t="n"/>
      <c r="K25" s="622" t="n"/>
      <c r="L25" s="622" t="n"/>
    </row>
    <row r="26" ht="20" customHeight="1">
      <c r="A26" s="621" t="inlineStr">
        <is>
          <t>REL-020</t>
        </is>
      </c>
      <c r="B26" s="623" t="n"/>
      <c r="C26" s="623" t="n"/>
      <c r="D26" s="623" t="n"/>
      <c r="E26" s="623" t="n"/>
      <c r="F26" s="623" t="n"/>
      <c r="G26" s="623" t="n"/>
      <c r="H26" s="623" t="n"/>
      <c r="I26" s="623" t="n"/>
      <c r="J26" s="623" t="n"/>
      <c r="K26" s="623" t="n"/>
      <c r="L26" s="623" t="n"/>
    </row>
    <row r="27" ht="20" customHeight="1">
      <c r="A27" s="621" t="inlineStr">
        <is>
          <t>REL-021</t>
        </is>
      </c>
      <c r="B27" s="622" t="n"/>
      <c r="C27" s="622" t="n"/>
      <c r="D27" s="622" t="n"/>
      <c r="E27" s="622" t="n"/>
      <c r="F27" s="622" t="n"/>
      <c r="G27" s="622" t="n"/>
      <c r="H27" s="622" t="n"/>
      <c r="I27" s="622" t="n"/>
      <c r="J27" s="622" t="n"/>
      <c r="K27" s="622" t="n"/>
      <c r="L27" s="622" t="n"/>
    </row>
    <row r="28" ht="20" customHeight="1">
      <c r="A28" s="621" t="inlineStr">
        <is>
          <t>REL-022</t>
        </is>
      </c>
      <c r="B28" s="623" t="n"/>
      <c r="C28" s="623" t="n"/>
      <c r="D28" s="623" t="n"/>
      <c r="E28" s="623" t="n"/>
      <c r="F28" s="623" t="n"/>
      <c r="G28" s="623" t="n"/>
      <c r="H28" s="623" t="n"/>
      <c r="I28" s="623" t="n"/>
      <c r="J28" s="623" t="n"/>
      <c r="K28" s="623" t="n"/>
      <c r="L28" s="623" t="n"/>
    </row>
    <row r="29" ht="20" customHeight="1">
      <c r="A29" s="621" t="inlineStr">
        <is>
          <t>REL-023</t>
        </is>
      </c>
      <c r="B29" s="622" t="n"/>
      <c r="C29" s="622" t="n"/>
      <c r="D29" s="622" t="n"/>
      <c r="E29" s="622" t="n"/>
      <c r="F29" s="622" t="n"/>
      <c r="G29" s="622" t="n"/>
      <c r="H29" s="622" t="n"/>
      <c r="I29" s="622" t="n"/>
      <c r="J29" s="622" t="n"/>
      <c r="K29" s="622" t="n"/>
      <c r="L29" s="622" t="n"/>
    </row>
    <row r="30" ht="20" customHeight="1">
      <c r="A30" s="621" t="inlineStr">
        <is>
          <t>REL-024</t>
        </is>
      </c>
      <c r="B30" s="623" t="n"/>
      <c r="C30" s="623" t="n"/>
      <c r="D30" s="623" t="n"/>
      <c r="E30" s="623" t="n"/>
      <c r="F30" s="623" t="n"/>
      <c r="G30" s="623" t="n"/>
      <c r="H30" s="623" t="n"/>
      <c r="I30" s="623" t="n"/>
      <c r="J30" s="623" t="n"/>
      <c r="K30" s="623" t="n"/>
      <c r="L30" s="623" t="n"/>
    </row>
    <row r="31" ht="20" customHeight="1">
      <c r="A31" s="621" t="inlineStr">
        <is>
          <t>REL-025</t>
        </is>
      </c>
      <c r="B31" s="622" t="n"/>
      <c r="C31" s="622" t="n"/>
      <c r="D31" s="622" t="n"/>
      <c r="E31" s="622" t="n"/>
      <c r="F31" s="622" t="n"/>
      <c r="G31" s="622" t="n"/>
      <c r="H31" s="622" t="n"/>
      <c r="I31" s="622" t="n"/>
      <c r="J31" s="622" t="n"/>
      <c r="K31" s="622" t="n"/>
      <c r="L31" s="622" t="n"/>
    </row>
    <row r="32" ht="20" customHeight="1">
      <c r="A32" s="621" t="inlineStr">
        <is>
          <t>REL-026</t>
        </is>
      </c>
      <c r="B32" s="623" t="n"/>
      <c r="C32" s="623" t="n"/>
      <c r="D32" s="623" t="n"/>
      <c r="E32" s="623" t="n"/>
      <c r="F32" s="623" t="n"/>
      <c r="G32" s="623" t="n"/>
      <c r="H32" s="623" t="n"/>
      <c r="I32" s="623" t="n"/>
      <c r="J32" s="623" t="n"/>
      <c r="K32" s="623" t="n"/>
      <c r="L32" s="623" t="n"/>
    </row>
    <row r="33" ht="20" customHeight="1">
      <c r="A33" s="621" t="inlineStr">
        <is>
          <t>REL-027</t>
        </is>
      </c>
      <c r="B33" s="622" t="n"/>
      <c r="C33" s="622" t="n"/>
      <c r="D33" s="622" t="n"/>
      <c r="E33" s="622" t="n"/>
      <c r="F33" s="622" t="n"/>
      <c r="G33" s="622" t="n"/>
      <c r="H33" s="622" t="n"/>
      <c r="I33" s="622" t="n"/>
      <c r="J33" s="622" t="n"/>
      <c r="K33" s="622" t="n"/>
      <c r="L33" s="622" t="n"/>
    </row>
    <row r="34" ht="20" customHeight="1">
      <c r="A34" s="621" t="inlineStr">
        <is>
          <t>REL-028</t>
        </is>
      </c>
      <c r="B34" s="623" t="n"/>
      <c r="C34" s="623" t="n"/>
      <c r="D34" s="623" t="n"/>
      <c r="E34" s="623" t="n"/>
      <c r="F34" s="623" t="n"/>
      <c r="G34" s="623" t="n"/>
      <c r="H34" s="623" t="n"/>
      <c r="I34" s="623" t="n"/>
      <c r="J34" s="623" t="n"/>
      <c r="K34" s="623" t="n"/>
      <c r="L34" s="623" t="n"/>
    </row>
    <row r="35" ht="20" customHeight="1">
      <c r="A35" s="621" t="inlineStr">
        <is>
          <t>REL-029</t>
        </is>
      </c>
      <c r="B35" s="622" t="n"/>
      <c r="C35" s="622" t="n"/>
      <c r="D35" s="622" t="n"/>
      <c r="E35" s="622" t="n"/>
      <c r="F35" s="622" t="n"/>
      <c r="G35" s="622" t="n"/>
      <c r="H35" s="622" t="n"/>
      <c r="I35" s="622" t="n"/>
      <c r="J35" s="622" t="n"/>
      <c r="K35" s="622" t="n"/>
      <c r="L35" s="622" t="n"/>
    </row>
    <row r="36" ht="20" customHeight="1">
      <c r="A36" s="621" t="inlineStr">
        <is>
          <t>REL-030</t>
        </is>
      </c>
      <c r="B36" s="623" t="n"/>
      <c r="C36" s="623" t="n"/>
      <c r="D36" s="623" t="n"/>
      <c r="E36" s="623" t="n"/>
      <c r="F36" s="623" t="n"/>
      <c r="G36" s="623" t="n"/>
      <c r="H36" s="623" t="n"/>
      <c r="I36" s="623" t="n"/>
      <c r="J36" s="623" t="n"/>
      <c r="K36" s="623" t="n"/>
      <c r="L36" s="623" t="n"/>
    </row>
    <row r="37"/>
    <row r="38" ht="22" customHeight="1">
      <c r="A38" s="173" t="inlineStr">
        <is>
          <t>🎯 B. BIDANG RELAWAN / MENTOR YANG DIBUTUHKAN</t>
        </is>
      </c>
      <c r="B38" s="171" t="n"/>
      <c r="C38" s="171" t="n"/>
      <c r="D38" s="171" t="n"/>
      <c r="E38" s="171" t="n"/>
      <c r="F38" s="171" t="n"/>
      <c r="G38" s="171" t="n"/>
      <c r="H38" s="171" t="n"/>
      <c r="I38" s="171" t="n"/>
      <c r="J38" s="171" t="n"/>
      <c r="K38" s="171" t="n"/>
      <c r="L38" s="172" t="n"/>
    </row>
    <row r="39" ht="26" customHeight="1">
      <c r="A39" s="637" t="inlineStr">
        <is>
          <t>No</t>
        </is>
      </c>
      <c r="B39" s="638" t="inlineStr">
        <is>
          <t>Bidang</t>
        </is>
      </c>
      <c r="C39" s="639" t="inlineStr">
        <is>
          <t>Deskripsi Tugas</t>
        </is>
      </c>
      <c r="D39" s="178" t="n"/>
      <c r="E39" s="178" t="n"/>
      <c r="F39" s="638" t="inlineStr">
        <is>
          <t>Jml Butuh</t>
        </is>
      </c>
      <c r="G39" s="638" t="inlineStr">
        <is>
          <t>Prioritas</t>
        </is>
      </c>
      <c r="H39" s="640" t="inlineStr">
        <is>
          <t>Catatan</t>
        </is>
      </c>
      <c r="I39" s="178" t="n"/>
      <c r="J39" s="178" t="n"/>
      <c r="K39" s="178" t="n"/>
      <c r="L39" s="179" t="n"/>
    </row>
    <row r="40" ht="22" customHeight="1">
      <c r="A40" s="641" t="n">
        <v>1</v>
      </c>
      <c r="B40" s="233" t="inlineStr">
        <is>
          <t>Pengajar / Tutor Paket C</t>
        </is>
      </c>
      <c r="C40" s="642" t="inlineStr">
        <is>
          <t>Mengajar Matematika, B.Indonesia, IPA, IPS</t>
        </is>
      </c>
      <c r="D40" s="171" t="n"/>
      <c r="E40" s="171" t="n"/>
      <c r="F40" s="643" t="n">
        <v>4</v>
      </c>
      <c r="G40" s="284" t="n">
        <v>0</v>
      </c>
      <c r="H40" s="644" t="inlineStr">
        <is>
          <t>★★★</t>
        </is>
      </c>
      <c r="I40" s="645" t="inlineStr">
        <is>
          <t>Jadwal malam 19:00–21:00, min S1</t>
        </is>
      </c>
      <c r="J40" s="171" t="n"/>
      <c r="K40" s="171" t="n"/>
      <c r="L40" s="172" t="n"/>
    </row>
    <row r="41" ht="22" customHeight="1">
      <c r="A41" s="518" t="n">
        <v>2</v>
      </c>
      <c r="B41" s="230" t="inlineStr">
        <is>
          <t>Psikolog / Konselor Anak</t>
        </is>
      </c>
      <c r="C41" s="646" t="inlineStr">
        <is>
          <t>Sesi konseling, assesment perkembangan anak</t>
        </is>
      </c>
      <c r="D41" s="171" t="n"/>
      <c r="E41" s="171" t="n"/>
      <c r="F41" s="643" t="n">
        <v>2</v>
      </c>
      <c r="G41" s="284" t="n">
        <v>0</v>
      </c>
      <c r="H41" s="644" t="inlineStr">
        <is>
          <t>★★★</t>
        </is>
      </c>
      <c r="I41" s="647" t="inlineStr">
        <is>
          <t>Min 1× seminggu on-site</t>
        </is>
      </c>
      <c r="J41" s="171" t="n"/>
      <c r="K41" s="171" t="n"/>
      <c r="L41" s="172" t="n"/>
    </row>
    <row r="42" ht="22" customHeight="1">
      <c r="A42" s="641" t="n">
        <v>3</v>
      </c>
      <c r="B42" s="233" t="inlineStr">
        <is>
          <t>Instruktur Pertanian Organik</t>
        </is>
      </c>
      <c r="C42" s="642" t="inlineStr">
        <is>
          <t>SOP bertanam natural, NO pestisida, hidroponik</t>
        </is>
      </c>
      <c r="D42" s="171" t="n"/>
      <c r="E42" s="171" t="n"/>
      <c r="F42" s="643" t="n">
        <v>2</v>
      </c>
      <c r="G42" s="284" t="n">
        <v>0</v>
      </c>
      <c r="H42" s="644" t="inlineStr">
        <is>
          <t>★★★</t>
        </is>
      </c>
      <c r="I42" s="645" t="inlineStr">
        <is>
          <t>Pengetahuan pertanian natural wajib</t>
        </is>
      </c>
      <c r="J42" s="171" t="n"/>
      <c r="K42" s="171" t="n"/>
      <c r="L42" s="172" t="n"/>
    </row>
    <row r="43" ht="22" customHeight="1">
      <c r="A43" s="518" t="n">
        <v>4</v>
      </c>
      <c r="B43" s="230" t="inlineStr">
        <is>
          <t>Instruktur Peternakan</t>
        </is>
      </c>
      <c r="C43" s="646" t="inlineStr">
        <is>
          <t>Sapi/kambing/ayam, kesehatan ternak, vaksin</t>
        </is>
      </c>
      <c r="D43" s="171" t="n"/>
      <c r="E43" s="171" t="n"/>
      <c r="F43" s="643" t="n">
        <v>1</v>
      </c>
      <c r="G43" s="284" t="n">
        <v>0</v>
      </c>
      <c r="H43" s="644" t="inlineStr">
        <is>
          <t>★★★</t>
        </is>
      </c>
      <c r="I43" s="647" t="inlineStr">
        <is>
          <t>Bisa koordinasi dgn Dinas Peternakan</t>
        </is>
      </c>
      <c r="J43" s="171" t="n"/>
      <c r="K43" s="171" t="n"/>
      <c r="L43" s="172" t="n"/>
    </row>
    <row r="44" ht="22" customHeight="1">
      <c r="A44" s="641" t="n">
        <v>5</v>
      </c>
      <c r="B44" s="233" t="inlineStr">
        <is>
          <t>IT / Digital Skills</t>
        </is>
      </c>
      <c r="C44" s="642" t="inlineStr">
        <is>
          <t>Mengajar MS Office, desain, coding dasar</t>
        </is>
      </c>
      <c r="D44" s="171" t="n"/>
      <c r="E44" s="171" t="n"/>
      <c r="F44" s="643" t="n">
        <v>2</v>
      </c>
      <c r="G44" s="284" t="n">
        <v>0</v>
      </c>
      <c r="H44" s="648" t="inlineStr">
        <is>
          <t>★★</t>
        </is>
      </c>
      <c r="I44" s="645" t="inlineStr">
        <is>
          <t>Weekend atau malam</t>
        </is>
      </c>
      <c r="J44" s="171" t="n"/>
      <c r="K44" s="171" t="n"/>
      <c r="L44" s="172" t="n"/>
    </row>
    <row r="45" ht="22" customHeight="1">
      <c r="A45" s="518" t="n">
        <v>6</v>
      </c>
      <c r="B45" s="230" t="inlineStr">
        <is>
          <t>Fotografi / Konten Media</t>
        </is>
      </c>
      <c r="C45" s="646" t="inlineStr">
        <is>
          <t>Dokumentasi kegiatan, konten IG/YouTube</t>
        </is>
      </c>
      <c r="D45" s="171" t="n"/>
      <c r="E45" s="171" t="n"/>
      <c r="F45" s="643" t="n">
        <v>1</v>
      </c>
      <c r="G45" s="284" t="n">
        <v>0</v>
      </c>
      <c r="H45" s="648" t="inlineStr">
        <is>
          <t>★★</t>
        </is>
      </c>
      <c r="I45" s="647" t="inlineStr">
        <is>
          <t>Content creator / fotografer</t>
        </is>
      </c>
      <c r="J45" s="171" t="n"/>
      <c r="K45" s="171" t="n"/>
      <c r="L45" s="172" t="n"/>
    </row>
    <row r="46" ht="22" customHeight="1">
      <c r="A46" s="641" t="n">
        <v>7</v>
      </c>
      <c r="B46" s="233" t="inlineStr">
        <is>
          <t>Skill Jahit / Kreatif</t>
        </is>
      </c>
      <c r="C46" s="642" t="inlineStr">
        <is>
          <t>Mengajar menjahit, kerajinan tangan, batik</t>
        </is>
      </c>
      <c r="D46" s="171" t="n"/>
      <c r="E46" s="171" t="n"/>
      <c r="F46" s="643" t="n">
        <v>1</v>
      </c>
      <c r="G46" s="284" t="n">
        <v>0</v>
      </c>
      <c r="H46" s="648" t="inlineStr">
        <is>
          <t>★★</t>
        </is>
      </c>
      <c r="I46" s="645" t="inlineStr">
        <is>
          <t>Bisa dari komunitas ibu-ibu lokal</t>
        </is>
      </c>
      <c r="J46" s="171" t="n"/>
      <c r="K46" s="171" t="n"/>
      <c r="L46" s="172" t="n"/>
    </row>
    <row r="47" ht="22" customHeight="1">
      <c r="A47" s="518" t="n">
        <v>8</v>
      </c>
      <c r="B47" s="230" t="inlineStr">
        <is>
          <t>Administrasi &amp; Keuangan</t>
        </is>
      </c>
      <c r="C47" s="646" t="inlineStr">
        <is>
          <t>Bantu pembukuan, laporan, Google Sheets</t>
        </is>
      </c>
      <c r="D47" s="171" t="n"/>
      <c r="E47" s="171" t="n"/>
      <c r="F47" s="643" t="n">
        <v>1</v>
      </c>
      <c r="G47" s="284" t="n">
        <v>0</v>
      </c>
      <c r="H47" s="648" t="inlineStr">
        <is>
          <t>★★</t>
        </is>
      </c>
      <c r="I47" s="647" t="inlineStr">
        <is>
          <t>Remote OK, 2× seminggu</t>
        </is>
      </c>
      <c r="J47" s="171" t="n"/>
      <c r="K47" s="171" t="n"/>
      <c r="L47" s="172" t="n"/>
    </row>
    <row r="48" ht="22" customHeight="1">
      <c r="A48" s="641" t="n">
        <v>9</v>
      </c>
      <c r="B48" s="233" t="inlineStr">
        <is>
          <t>Mentor Bisnis &amp; Wirausaha</t>
        </is>
      </c>
      <c r="C48" s="642" t="inlineStr">
        <is>
          <t>Kelas Junior CEO, rencana usaha</t>
        </is>
      </c>
      <c r="D48" s="171" t="n"/>
      <c r="E48" s="171" t="n"/>
      <c r="F48" s="643" t="n">
        <v>2</v>
      </c>
      <c r="G48" s="284" t="n">
        <v>0</v>
      </c>
      <c r="H48" s="648" t="inlineStr">
        <is>
          <t>★★</t>
        </is>
      </c>
      <c r="I48" s="645" t="inlineStr">
        <is>
          <t>Entrepreneur / profesional bisnis</t>
        </is>
      </c>
      <c r="J48" s="171" t="n"/>
      <c r="K48" s="171" t="n"/>
      <c r="L48" s="172" t="n"/>
    </row>
    <row r="49" ht="22" customHeight="1">
      <c r="A49" s="518" t="n">
        <v>10</v>
      </c>
      <c r="B49" s="230" t="inlineStr">
        <is>
          <t>Relawan Umum</t>
        </is>
      </c>
      <c r="C49" s="646" t="inlineStr">
        <is>
          <t>Bantu kegiatan harian, event, panen</t>
        </is>
      </c>
      <c r="D49" s="171" t="n"/>
      <c r="E49" s="171" t="n"/>
      <c r="F49" s="643" t="n">
        <v>10</v>
      </c>
      <c r="G49" s="284" t="n">
        <v>0</v>
      </c>
      <c r="H49" s="649" t="inlineStr">
        <is>
          <t>★</t>
        </is>
      </c>
      <c r="I49" s="647" t="inlineStr">
        <is>
          <t>Siapapun yang punya waktu &amp; niat</t>
        </is>
      </c>
      <c r="J49" s="171" t="n"/>
      <c r="K49" s="171" t="n"/>
      <c r="L49" s="172" t="n"/>
    </row>
    <row r="50"/>
    <row r="51" ht="22" customHeight="1">
      <c r="A51" s="173" t="inlineStr">
        <is>
          <t>📝 C. TEMPLATE PERJANJIAN RELAWAN / MENTOR (Isi &amp; Cetak)</t>
        </is>
      </c>
      <c r="B51" s="171" t="n"/>
      <c r="C51" s="171" t="n"/>
      <c r="D51" s="171" t="n"/>
      <c r="E51" s="171" t="n"/>
      <c r="F51" s="171" t="n"/>
      <c r="G51" s="171" t="n"/>
      <c r="H51" s="171" t="n"/>
      <c r="I51" s="171" t="n"/>
      <c r="J51" s="171" t="n"/>
      <c r="K51" s="171" t="n"/>
      <c r="L51" s="172" t="n"/>
    </row>
    <row r="52" ht="22" customHeight="1">
      <c r="A52" s="170" t="inlineStr">
        <is>
          <t xml:space="preserve">  Gunakan template di bawah ini sebagai dasar MOU / Surat Kesepakatan Relawan. Isi data lalu cetak / kirim via email.</t>
        </is>
      </c>
      <c r="B52" s="171" t="n"/>
      <c r="C52" s="171" t="n"/>
      <c r="D52" s="171" t="n"/>
      <c r="E52" s="171" t="n"/>
      <c r="F52" s="171" t="n"/>
      <c r="G52" s="171" t="n"/>
      <c r="H52" s="171" t="n"/>
      <c r="I52" s="171" t="n"/>
      <c r="J52" s="171" t="n"/>
      <c r="K52" s="171" t="n"/>
      <c r="L52" s="172" t="n"/>
    </row>
    <row r="53" ht="18" customHeight="1">
      <c r="A53" s="650" t="inlineStr">
        <is>
          <t>SURAT KESEPAKATAN RELAWAN / MENTOR</t>
        </is>
      </c>
      <c r="B53" s="171" t="n"/>
      <c r="C53" s="171" t="n"/>
      <c r="D53" s="171" t="n"/>
      <c r="E53" s="171" t="n"/>
      <c r="F53" s="171" t="n"/>
      <c r="G53" s="171" t="n"/>
      <c r="H53" s="171" t="n"/>
      <c r="I53" s="171" t="n"/>
      <c r="J53" s="171" t="n"/>
      <c r="K53" s="171" t="n"/>
      <c r="L53" s="172" t="n"/>
    </row>
    <row r="54" ht="18" customHeight="1">
      <c r="A54" s="650" t="inlineStr">
        <is>
          <t>YAYASAN NAWA CAHAYA</t>
        </is>
      </c>
      <c r="B54" s="171" t="n"/>
      <c r="C54" s="171" t="n"/>
      <c r="D54" s="171" t="n"/>
      <c r="E54" s="171" t="n"/>
      <c r="F54" s="171" t="n"/>
      <c r="G54" s="171" t="n"/>
      <c r="H54" s="171" t="n"/>
      <c r="I54" s="171" t="n"/>
      <c r="J54" s="171" t="n"/>
      <c r="K54" s="171" t="n"/>
      <c r="L54" s="172" t="n"/>
    </row>
    <row r="55" ht="18" customHeight="1">
      <c r="A55" s="651" t="n"/>
      <c r="B55" s="652" t="n"/>
      <c r="C55" s="653" t="n"/>
      <c r="D55" s="652" t="n"/>
      <c r="E55" s="652" t="n"/>
      <c r="F55" s="652" t="n"/>
      <c r="G55" s="653" t="n"/>
      <c r="H55" s="652" t="n"/>
      <c r="I55" s="652" t="n"/>
      <c r="J55" s="654" t="n"/>
      <c r="K55" s="652" t="n"/>
      <c r="L55" s="655" t="n"/>
    </row>
    <row r="56" ht="18" customHeight="1">
      <c r="A56" s="651" t="inlineStr">
        <is>
          <t>Yang bertanda tangan di bawah ini:</t>
        </is>
      </c>
      <c r="B56" s="652" t="n"/>
      <c r="C56" s="653" t="n"/>
      <c r="D56" s="652" t="n"/>
      <c r="E56" s="652" t="n"/>
      <c r="F56" s="652" t="n"/>
      <c r="G56" s="653" t="n"/>
      <c r="H56" s="652" t="n"/>
      <c r="I56" s="652" t="n"/>
      <c r="J56" s="654" t="n"/>
      <c r="K56" s="652" t="n"/>
      <c r="L56" s="655" t="n"/>
    </row>
    <row r="57" ht="18" customHeight="1">
      <c r="A57" s="651" t="inlineStr">
        <is>
          <t>Nama Relawan/Mentor :</t>
        </is>
      </c>
      <c r="B57" s="652" t="n"/>
      <c r="C57" s="653" t="inlineStr">
        <is>
          <t>[ISI NAMA]</t>
        </is>
      </c>
      <c r="D57" s="652" t="n"/>
      <c r="E57" s="652" t="n"/>
      <c r="F57" s="652" t="n"/>
      <c r="G57" s="653" t="inlineStr">
        <is>
          <t>Tanggal Mulai :</t>
        </is>
      </c>
      <c r="H57" s="652" t="n"/>
      <c r="I57" s="652" t="n"/>
      <c r="J57" s="654" t="inlineStr">
        <is>
          <t>[DD/MM/YYYY]</t>
        </is>
      </c>
      <c r="K57" s="652" t="n"/>
      <c r="L57" s="655" t="n"/>
    </row>
    <row r="58" ht="18" customHeight="1">
      <c r="A58" s="651" t="inlineStr">
        <is>
          <t>Bidang Keahlian :</t>
        </is>
      </c>
      <c r="B58" s="652" t="n"/>
      <c r="C58" s="653" t="inlineStr">
        <is>
          <t>[ISI BIDANG]</t>
        </is>
      </c>
      <c r="D58" s="652" t="n"/>
      <c r="E58" s="652" t="n"/>
      <c r="F58" s="652" t="n"/>
      <c r="G58" s="653" t="inlineStr">
        <is>
          <t>Durasi Komitmen :</t>
        </is>
      </c>
      <c r="H58" s="652" t="n"/>
      <c r="I58" s="652" t="n"/>
      <c r="J58" s="654" t="inlineStr">
        <is>
          <t>[X bulan / ongoing]</t>
        </is>
      </c>
      <c r="K58" s="652" t="n"/>
      <c r="L58" s="655" t="n"/>
    </row>
    <row r="59" ht="18" customHeight="1">
      <c r="A59" s="651" t="inlineStr">
        <is>
          <t>No. WhatsApp :</t>
        </is>
      </c>
      <c r="B59" s="652" t="n"/>
      <c r="C59" s="653" t="inlineStr">
        <is>
          <t>[ISI NOMOR]</t>
        </is>
      </c>
      <c r="D59" s="652" t="n"/>
      <c r="E59" s="652" t="n"/>
      <c r="F59" s="652" t="n"/>
      <c r="G59" s="653" t="inlineStr">
        <is>
          <t>Jadwal :</t>
        </is>
      </c>
      <c r="H59" s="652" t="n"/>
      <c r="I59" s="652" t="n"/>
      <c r="J59" s="654" t="inlineStr">
        <is>
          <t>[Hari &amp; Jam]</t>
        </is>
      </c>
      <c r="K59" s="652" t="n"/>
      <c r="L59" s="655" t="n"/>
    </row>
    <row r="60" ht="18" customHeight="1">
      <c r="A60" s="651" t="n"/>
      <c r="B60" s="652" t="n"/>
      <c r="C60" s="653" t="n"/>
      <c r="D60" s="652" t="n"/>
      <c r="E60" s="652" t="n"/>
      <c r="F60" s="652" t="n"/>
      <c r="G60" s="653" t="n"/>
      <c r="H60" s="652" t="n"/>
      <c r="I60" s="652" t="n"/>
      <c r="J60" s="654" t="n"/>
      <c r="K60" s="652" t="n"/>
      <c r="L60" s="655" t="n"/>
    </row>
    <row r="61" ht="18" customHeight="1">
      <c r="A61" s="656" t="inlineStr">
        <is>
          <t>KESEPAKATAN :</t>
        </is>
      </c>
      <c r="B61" s="652" t="n"/>
      <c r="C61" s="657" t="n"/>
      <c r="D61" s="652" t="n"/>
      <c r="E61" s="652" t="n"/>
      <c r="F61" s="652" t="n"/>
      <c r="G61" s="657" t="n"/>
      <c r="H61" s="652" t="n"/>
      <c r="I61" s="652" t="n"/>
      <c r="J61" s="658" t="n"/>
      <c r="K61" s="652" t="n"/>
      <c r="L61" s="655" t="n"/>
    </row>
    <row r="62" ht="18" customHeight="1">
      <c r="A62" s="651" t="inlineStr">
        <is>
          <t>1.</t>
        </is>
      </c>
      <c r="B62" s="652" t="n"/>
      <c r="C62" s="653" t="inlineStr">
        <is>
          <t>Relawan/Mentor berkomitmen menjalankan tugas sesuai bidang yang disepakati.</t>
        </is>
      </c>
      <c r="D62" s="652" t="n"/>
      <c r="E62" s="652" t="n"/>
      <c r="F62" s="652" t="n"/>
      <c r="G62" s="653" t="n"/>
      <c r="H62" s="652" t="n"/>
      <c r="I62" s="652" t="n"/>
      <c r="J62" s="654" t="n"/>
      <c r="K62" s="652" t="n"/>
      <c r="L62" s="655" t="n"/>
    </row>
    <row r="63" ht="18" customHeight="1">
      <c r="A63" s="651" t="inlineStr">
        <is>
          <t>2.</t>
        </is>
      </c>
      <c r="B63" s="652" t="n"/>
      <c r="C63" s="653" t="inlineStr">
        <is>
          <t>Setiap kegiatan didokumentasikan dan dilaporkan ke koordinator yayasan.</t>
        </is>
      </c>
      <c r="D63" s="652" t="n"/>
      <c r="E63" s="652" t="n"/>
      <c r="F63" s="652" t="n"/>
      <c r="G63" s="653" t="n"/>
      <c r="H63" s="652" t="n"/>
      <c r="I63" s="652" t="n"/>
      <c r="J63" s="654" t="n"/>
      <c r="K63" s="652" t="n"/>
      <c r="L63" s="655" t="n"/>
    </row>
    <row r="64" ht="18" customHeight="1">
      <c r="A64" s="651" t="inlineStr">
        <is>
          <t>3.</t>
        </is>
      </c>
      <c r="B64" s="652" t="n"/>
      <c r="C64" s="653" t="inlineStr">
        <is>
          <t>Relawan/Mentor menjaga kerahasiaan data anak binaan.</t>
        </is>
      </c>
      <c r="D64" s="652" t="n"/>
      <c r="E64" s="652" t="n"/>
      <c r="F64" s="652" t="n"/>
      <c r="G64" s="653" t="n"/>
      <c r="H64" s="652" t="n"/>
      <c r="I64" s="652" t="n"/>
      <c r="J64" s="654" t="n"/>
      <c r="K64" s="652" t="n"/>
      <c r="L64" s="655" t="n"/>
    </row>
    <row r="65" ht="18" customHeight="1">
      <c r="A65" s="651" t="inlineStr">
        <is>
          <t>4.</t>
        </is>
      </c>
      <c r="B65" s="652" t="n"/>
      <c r="C65" s="653" t="inlineStr">
        <is>
          <t>Yayasan memberikan sertifikat pengabdian setelah komitmen selesai.</t>
        </is>
      </c>
      <c r="D65" s="652" t="n"/>
      <c r="E65" s="652" t="n"/>
      <c r="F65" s="652" t="n"/>
      <c r="G65" s="653" t="n"/>
      <c r="H65" s="652" t="n"/>
      <c r="I65" s="652" t="n"/>
      <c r="J65" s="654" t="n"/>
      <c r="K65" s="652" t="n"/>
      <c r="L65" s="655" t="n"/>
    </row>
    <row r="66" ht="18" customHeight="1">
      <c r="A66" s="651" t="inlineStr">
        <is>
          <t>5.</t>
        </is>
      </c>
      <c r="B66" s="652" t="n"/>
      <c r="C66" s="653" t="inlineStr">
        <is>
          <t>Dapat diakhiri sewaktu-waktu dengan pemberitahuan 7 hari sebelumnya.</t>
        </is>
      </c>
      <c r="D66" s="652" t="n"/>
      <c r="E66" s="652" t="n"/>
      <c r="F66" s="652" t="n"/>
      <c r="G66" s="653" t="n"/>
      <c r="H66" s="652" t="n"/>
      <c r="I66" s="652" t="n"/>
      <c r="J66" s="654" t="n"/>
      <c r="K66" s="652" t="n"/>
      <c r="L66" s="655" t="n"/>
    </row>
    <row r="67" ht="18" customHeight="1">
      <c r="A67" s="651" t="n"/>
      <c r="B67" s="652" t="n"/>
      <c r="C67" s="653" t="n"/>
      <c r="D67" s="652" t="n"/>
      <c r="E67" s="652" t="n"/>
      <c r="F67" s="652" t="n"/>
      <c r="G67" s="653" t="n"/>
      <c r="H67" s="652" t="n"/>
      <c r="I67" s="652" t="n"/>
      <c r="J67" s="654" t="n"/>
      <c r="K67" s="652" t="n"/>
      <c r="L67" s="655" t="n"/>
    </row>
    <row r="68" ht="18" customHeight="1">
      <c r="A68" s="651" t="inlineStr">
        <is>
          <t>Bogor, _____________ 2025</t>
        </is>
      </c>
      <c r="B68" s="652" t="n"/>
      <c r="C68" s="653" t="n"/>
      <c r="D68" s="652" t="n"/>
      <c r="E68" s="652" t="n"/>
      <c r="F68" s="652" t="n"/>
      <c r="G68" s="653" t="n"/>
      <c r="H68" s="652" t="n"/>
      <c r="I68" s="652" t="n"/>
      <c r="J68" s="654" t="n"/>
      <c r="K68" s="652" t="n"/>
      <c r="L68" s="655" t="n"/>
    </row>
    <row r="69" ht="18" customHeight="1">
      <c r="A69" s="651" t="n"/>
      <c r="B69" s="652" t="n"/>
      <c r="C69" s="653" t="n"/>
      <c r="D69" s="652" t="n"/>
      <c r="E69" s="652" t="n"/>
      <c r="F69" s="652" t="n"/>
      <c r="G69" s="653" t="n"/>
      <c r="H69" s="652" t="n"/>
      <c r="I69" s="652" t="n"/>
      <c r="J69" s="654" t="n"/>
      <c r="K69" s="652" t="n"/>
      <c r="L69" s="655" t="n"/>
    </row>
    <row r="70" ht="18" customHeight="1">
      <c r="A70" s="651" t="inlineStr">
        <is>
          <t>Relawan / Mentor,</t>
        </is>
      </c>
      <c r="B70" s="652" t="n"/>
      <c r="C70" s="653" t="n"/>
      <c r="D70" s="652" t="n"/>
      <c r="E70" s="652" t="n"/>
      <c r="F70" s="652" t="n"/>
      <c r="G70" s="653" t="inlineStr">
        <is>
          <t>Ketua Yayasan,</t>
        </is>
      </c>
      <c r="H70" s="652" t="n"/>
      <c r="I70" s="652" t="n"/>
      <c r="J70" s="654" t="n"/>
      <c r="K70" s="652" t="n"/>
      <c r="L70" s="655" t="n"/>
    </row>
    <row r="71" ht="18" customHeight="1">
      <c r="A71" s="651" t="n"/>
      <c r="B71" s="652" t="n"/>
      <c r="C71" s="653" t="n"/>
      <c r="D71" s="652" t="n"/>
      <c r="E71" s="652" t="n"/>
      <c r="F71" s="652" t="n"/>
      <c r="G71" s="653" t="n"/>
      <c r="H71" s="652" t="n"/>
      <c r="I71" s="652" t="n"/>
      <c r="J71" s="654" t="n"/>
      <c r="K71" s="652" t="n"/>
      <c r="L71" s="655" t="n"/>
    </row>
    <row r="72" ht="18" customHeight="1">
      <c r="A72" s="651" t="inlineStr">
        <is>
          <t>( ________________________ )</t>
        </is>
      </c>
      <c r="B72" s="652" t="n"/>
      <c r="C72" s="653" t="n"/>
      <c r="D72" s="652" t="n"/>
      <c r="E72" s="652" t="n"/>
      <c r="F72" s="652" t="n"/>
      <c r="G72" s="653" t="inlineStr">
        <is>
          <t>( ________________________ )</t>
        </is>
      </c>
      <c r="H72" s="652" t="n"/>
      <c r="I72" s="652" t="n"/>
      <c r="J72" s="654" t="n"/>
      <c r="K72" s="652" t="n"/>
      <c r="L72" s="655" t="n"/>
    </row>
  </sheetData>
  <mergeCells count="103">
    <mergeCell ref="I48:L48"/>
    <mergeCell ref="C44:E44"/>
    <mergeCell ref="A64:B64"/>
    <mergeCell ref="C61:F61"/>
    <mergeCell ref="C40:E40"/>
    <mergeCell ref="G62:I62"/>
    <mergeCell ref="C72:F72"/>
    <mergeCell ref="A70:B70"/>
    <mergeCell ref="I40:L40"/>
    <mergeCell ref="G65:I65"/>
    <mergeCell ref="J66:L66"/>
    <mergeCell ref="C62:F62"/>
    <mergeCell ref="A56:B56"/>
    <mergeCell ref="G63:I63"/>
    <mergeCell ref="A52:L52"/>
    <mergeCell ref="C64:F64"/>
    <mergeCell ref="C49:E49"/>
    <mergeCell ref="J61:L61"/>
    <mergeCell ref="C63:F63"/>
    <mergeCell ref="J72:L72"/>
    <mergeCell ref="C42:E42"/>
    <mergeCell ref="A62:B62"/>
    <mergeCell ref="C56:F56"/>
    <mergeCell ref="A68:B68"/>
    <mergeCell ref="A59:B59"/>
    <mergeCell ref="I44:L44"/>
    <mergeCell ref="J65:L65"/>
    <mergeCell ref="G69:I69"/>
    <mergeCell ref="J70:L70"/>
    <mergeCell ref="C67:F67"/>
    <mergeCell ref="A61:B61"/>
    <mergeCell ref="C46:E46"/>
    <mergeCell ref="J63:L63"/>
    <mergeCell ref="C69:F69"/>
    <mergeCell ref="A5:L5"/>
    <mergeCell ref="C39:E39"/>
    <mergeCell ref="G55:I55"/>
    <mergeCell ref="C48:E48"/>
    <mergeCell ref="I46:L46"/>
    <mergeCell ref="G64:I64"/>
    <mergeCell ref="A4:L4"/>
    <mergeCell ref="A38:L38"/>
    <mergeCell ref="A71:B71"/>
    <mergeCell ref="G56:I56"/>
    <mergeCell ref="I41:L41"/>
    <mergeCell ref="J67:L67"/>
    <mergeCell ref="G71:I71"/>
    <mergeCell ref="A63:B63"/>
    <mergeCell ref="I43:L43"/>
    <mergeCell ref="J60:L60"/>
    <mergeCell ref="J69:L69"/>
    <mergeCell ref="C71:F71"/>
    <mergeCell ref="I42:L42"/>
    <mergeCell ref="G66:I66"/>
    <mergeCell ref="J55:L55"/>
    <mergeCell ref="C57:F57"/>
    <mergeCell ref="G68:I68"/>
    <mergeCell ref="C66:F66"/>
    <mergeCell ref="A69:B69"/>
    <mergeCell ref="A2:L2"/>
    <mergeCell ref="G58:I58"/>
    <mergeCell ref="A65:B65"/>
    <mergeCell ref="C68:F68"/>
    <mergeCell ref="J56:L56"/>
    <mergeCell ref="C58:F58"/>
    <mergeCell ref="I45:L45"/>
    <mergeCell ref="A55:B55"/>
    <mergeCell ref="J71:L71"/>
    <mergeCell ref="A57:B57"/>
    <mergeCell ref="J58:L58"/>
    <mergeCell ref="I47:L47"/>
    <mergeCell ref="C65:F65"/>
    <mergeCell ref="G72:I72"/>
    <mergeCell ref="J57:L57"/>
    <mergeCell ref="A51:L51"/>
    <mergeCell ref="G70:I70"/>
    <mergeCell ref="J59:L59"/>
    <mergeCell ref="A67:B67"/>
    <mergeCell ref="C60:F60"/>
    <mergeCell ref="J68:L68"/>
    <mergeCell ref="A54:L54"/>
    <mergeCell ref="C70:F70"/>
    <mergeCell ref="C41:E41"/>
    <mergeCell ref="G57:I57"/>
    <mergeCell ref="A60:B60"/>
    <mergeCell ref="C43:E43"/>
    <mergeCell ref="H39:L39"/>
    <mergeCell ref="A66:B66"/>
    <mergeCell ref="I49:L49"/>
    <mergeCell ref="A53:L53"/>
    <mergeCell ref="J62:L62"/>
    <mergeCell ref="G60:I60"/>
    <mergeCell ref="G59:I59"/>
    <mergeCell ref="C55:F55"/>
    <mergeCell ref="J64:L64"/>
    <mergeCell ref="A72:B72"/>
    <mergeCell ref="C45:E45"/>
    <mergeCell ref="G67:I67"/>
    <mergeCell ref="A1:L1"/>
    <mergeCell ref="G61:I61"/>
    <mergeCell ref="C59:F59"/>
    <mergeCell ref="A58:B58"/>
    <mergeCell ref="C47:E4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9" customWidth="1" min="4" max="4"/>
    <col width="15" customWidth="1" min="5" max="5"/>
    <col width="15" customWidth="1" min="6" max="6"/>
    <col width="10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42" customHeight="1">
      <c r="A1" s="620" t="inlineStr">
        <is>
          <t>⚡ RAB LISTRIK, AIR &amp; ENERGI MANDIRI — NAWA CAHAYA</t>
        </is>
      </c>
    </row>
    <row r="2" ht="18" customHeight="1">
      <c r="A2" s="169" t="inlineStr">
        <is>
          <t>Generator · Solar Panel · Mikro-Hidro · Sumur · PDAM · Efisiensi Energi Jangka Panjang</t>
        </is>
      </c>
    </row>
    <row r="3"/>
    <row r="4" ht="22" customHeight="1">
      <c r="A4" s="173" t="inlineStr">
        <is>
          <t>⚡ A. PERBANDINGAN PILIHAN SISTEM ENERGI (Pilih Sesuai Kondisi Lahan)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 ht="26" customHeight="1">
      <c r="A5" s="659" t="inlineStr">
        <is>
          <t>Sistem</t>
        </is>
      </c>
      <c r="B5" s="660" t="inlineStr">
        <is>
          <t>Kapasitas</t>
        </is>
      </c>
      <c r="C5" s="660" t="inlineStr">
        <is>
          <t>Biaya Awal</t>
        </is>
      </c>
      <c r="D5" s="660" t="inlineStr">
        <is>
          <t>Biaya Ops/Bln</t>
        </is>
      </c>
      <c r="E5" s="660" t="inlineStr">
        <is>
          <t>Umur Pakai</t>
        </is>
      </c>
      <c r="F5" s="660" t="inlineStr">
        <is>
          <t>Kecocokan Lahan</t>
        </is>
      </c>
      <c r="G5" s="660" t="inlineStr">
        <is>
          <t>Rekomendasi</t>
        </is>
      </c>
      <c r="H5" s="661" t="inlineStr">
        <is>
          <t>Catatan</t>
        </is>
      </c>
      <c r="I5" s="200" t="n"/>
      <c r="J5" s="200" t="n"/>
      <c r="K5" s="200" t="n"/>
      <c r="L5" s="203" t="n"/>
    </row>
    <row r="6" ht="28" customHeight="1">
      <c r="A6" s="662" t="inlineStr">
        <is>
          <t>🔌 PLN (Sambungan Baru)</t>
        </is>
      </c>
      <c r="B6" s="271" t="inlineStr">
        <is>
          <t>900–3.300 VA</t>
        </is>
      </c>
      <c r="C6" s="663" t="n">
        <v>2500000</v>
      </c>
      <c r="D6" s="664" t="n">
        <v>400000</v>
      </c>
      <c r="E6" s="271" t="inlineStr">
        <is>
          <t>Permanen</t>
        </is>
      </c>
      <c r="F6" s="665" t="inlineStr">
        <is>
          <t>Semua lahan dekat jaringan PLN</t>
        </is>
      </c>
      <c r="G6" s="125" t="inlineStr">
        <is>
          <t>★★★ Ideal untuk awal</t>
        </is>
      </c>
      <c r="H6" s="666" t="inlineStr">
        <is>
          <t>Biaya sambung + meteran. Paling stabil. Minta daya 3.300VA untuk dapur + alat</t>
        </is>
      </c>
      <c r="I6" s="171" t="n"/>
      <c r="J6" s="171" t="n"/>
      <c r="K6" s="171" t="n"/>
      <c r="L6" s="172" t="n"/>
    </row>
    <row r="7" ht="28" customHeight="1">
      <c r="A7" s="667" t="inlineStr">
        <is>
          <t>🔋 Solar Panel Off-Grid</t>
        </is>
      </c>
      <c r="B7" s="284" t="inlineStr">
        <is>
          <t>1.000–2.000 Wp</t>
        </is>
      </c>
      <c r="C7" s="663" t="n">
        <v>18000000</v>
      </c>
      <c r="D7" s="664" t="n">
        <v>50000</v>
      </c>
      <c r="E7" s="284" t="inlineStr">
        <is>
          <t>20–25 thn</t>
        </is>
      </c>
      <c r="F7" s="108" t="inlineStr">
        <is>
          <t>Lahan terbuka, banyak sinar matahari</t>
        </is>
      </c>
      <c r="G7" s="125" t="inlineStr">
        <is>
          <t>★★★ Investasi terbaik</t>
        </is>
      </c>
      <c r="H7" s="668" t="inlineStr">
        <is>
          <t>Panel 4×250W + baterai 4×200Ah + inverter 2000W. BEP dalam 3–4 tahun</t>
        </is>
      </c>
      <c r="I7" s="171" t="n"/>
      <c r="J7" s="171" t="n"/>
      <c r="K7" s="171" t="n"/>
      <c r="L7" s="172" t="n"/>
    </row>
    <row r="8" ht="28" customHeight="1">
      <c r="A8" s="669" t="inlineStr">
        <is>
          <t>⛽ Genset Bensin 2.500W</t>
        </is>
      </c>
      <c r="B8" s="670" t="inlineStr">
        <is>
          <t>2.500 W</t>
        </is>
      </c>
      <c r="C8" s="663" t="n">
        <v>4500000</v>
      </c>
      <c r="D8" s="664" t="n">
        <v>800000</v>
      </c>
      <c r="E8" s="670" t="inlineStr">
        <is>
          <t>5–7 thn</t>
        </is>
      </c>
      <c r="F8" s="671" t="inlineStr">
        <is>
          <t>Backup / sementara</t>
        </is>
      </c>
      <c r="G8" s="672" t="inlineStr">
        <is>
          <t>★★ Backup saja</t>
        </is>
      </c>
      <c r="H8" s="673" t="inlineStr">
        <is>
          <t>Konsumsi 1L/jam = Rp 14rb/jam. Mahal jangka panjang. Bising. Hanya backup</t>
        </is>
      </c>
      <c r="I8" s="171" t="n"/>
      <c r="J8" s="171" t="n"/>
      <c r="K8" s="171" t="n"/>
      <c r="L8" s="172" t="n"/>
    </row>
    <row r="9" ht="28" customHeight="1">
      <c r="A9" s="674" t="inlineStr">
        <is>
          <t>⛽ Genset Diesel 5.000W</t>
        </is>
      </c>
      <c r="B9" s="555" t="inlineStr">
        <is>
          <t>5.000 W</t>
        </is>
      </c>
      <c r="C9" s="663" t="n">
        <v>9000000</v>
      </c>
      <c r="D9" s="664" t="n">
        <v>600000</v>
      </c>
      <c r="E9" s="555" t="inlineStr">
        <is>
          <t>8–10 thn</t>
        </is>
      </c>
      <c r="F9" s="114" t="inlineStr">
        <is>
          <t>Area tanpa PLN, kebutuhan besar</t>
        </is>
      </c>
      <c r="G9" s="672" t="inlineStr">
        <is>
          <t>★★ Backup / remote area</t>
        </is>
      </c>
      <c r="H9" s="675" t="inlineStr">
        <is>
          <t>Lebih hemat dari bensin. 0.7L/jam diesel. Lebih cocok untuk kapasitas besar</t>
        </is>
      </c>
      <c r="I9" s="171" t="n"/>
      <c r="J9" s="171" t="n"/>
      <c r="K9" s="171" t="n"/>
      <c r="L9" s="172" t="n"/>
    </row>
    <row r="10" ht="28" customHeight="1">
      <c r="A10" s="667" t="inlineStr">
        <is>
          <t>💧 Mikro-Hidro Turbin</t>
        </is>
      </c>
      <c r="B10" s="284" t="inlineStr">
        <is>
          <t>1.000–5.000 W</t>
        </is>
      </c>
      <c r="C10" s="663" t="n">
        <v>20000000</v>
      </c>
      <c r="D10" s="664" t="n">
        <v>0</v>
      </c>
      <c r="E10" s="284" t="inlineStr">
        <is>
          <t>20+ thn</t>
        </is>
      </c>
      <c r="F10" s="108" t="inlineStr">
        <is>
          <t>Ada sungai/saluran, head ≥3m, debit ≥50L/dtk</t>
        </is>
      </c>
      <c r="G10" s="125" t="inlineStr">
        <is>
          <t>★★★ Gratis selamanya!</t>
        </is>
      </c>
      <c r="H10" s="668" t="inlineStr">
        <is>
          <t>Survei hidrologi dulu wajib. Nol biaya ops. BEP 2–3 tahun. DIY bisa Rp 7–10jt</t>
        </is>
      </c>
      <c r="I10" s="171" t="n"/>
      <c r="J10" s="171" t="n"/>
      <c r="K10" s="171" t="n"/>
      <c r="L10" s="172" t="n"/>
    </row>
    <row r="11" ht="28" customHeight="1">
      <c r="A11" s="676" t="inlineStr">
        <is>
          <t>🌿 Biogas (kotoran ternak)</t>
        </is>
      </c>
      <c r="B11" s="677" t="inlineStr">
        <is>
          <t>1–2 kompor</t>
        </is>
      </c>
      <c r="C11" s="663" t="inlineStr">
        <is>
          <t>5000000</t>
        </is>
      </c>
      <c r="D11" s="664" t="n">
        <v>0</v>
      </c>
      <c r="E11" s="677" t="inlineStr">
        <is>
          <t>15+ thn</t>
        </is>
      </c>
      <c r="F11" s="111" t="inlineStr">
        <is>
          <t>Ada sapi/kambing minimal 3 ekor</t>
        </is>
      </c>
      <c r="G11" s="672" t="inlineStr">
        <is>
          <t>★★ Kompor gratis!</t>
        </is>
      </c>
      <c r="H11" s="678" t="inlineStr">
        <is>
          <t>Biodigester 2m³. 20kg kotoran/hari = 1 kompor 8 jam. Sisa = pupuk cair premium</t>
        </is>
      </c>
      <c r="I11" s="171" t="n"/>
      <c r="J11" s="171" t="n"/>
      <c r="K11" s="171" t="n"/>
      <c r="L11" s="172" t="n"/>
    </row>
    <row r="12"/>
    <row r="13" ht="22" customHeight="1">
      <c r="A13" s="173" t="inlineStr">
        <is>
          <t>☀️ B. RAB SOLAR PANEL OFF-GRID 1.500 Wp (Rekomendasi Fase 1)</t>
        </is>
      </c>
      <c r="B13" s="171" t="n"/>
      <c r="C13" s="171" t="n"/>
      <c r="D13" s="171" t="n"/>
      <c r="E13" s="171" t="n"/>
      <c r="F13" s="171" t="n"/>
      <c r="G13" s="171" t="n"/>
      <c r="H13" s="171" t="n"/>
      <c r="I13" s="171" t="n"/>
      <c r="J13" s="171" t="n"/>
      <c r="K13" s="171" t="n"/>
      <c r="L13" s="172" t="n"/>
    </row>
    <row r="14" ht="22" customHeight="1">
      <c r="A14" s="195" t="inlineStr">
        <is>
          <t xml:space="preserve">  Sistem ini cukup untuk: 5 lampu LED + 2 charger HP + 1 kulkas kecil + pompa air 30 menit/hari. Tambah panel = tambah kapasitas. BEP vs PLN dalam 3 tahun.</t>
        </is>
      </c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1" t="n"/>
      <c r="K14" s="171" t="n"/>
      <c r="L14" s="172" t="n"/>
    </row>
    <row r="15" ht="26" customHeight="1">
      <c r="A15" s="174" t="inlineStr">
        <is>
          <t>No</t>
        </is>
      </c>
      <c r="B15" s="176" t="inlineStr">
        <is>
          <t>Item</t>
        </is>
      </c>
      <c r="C15" s="176" t="inlineStr">
        <is>
          <t>Vol</t>
        </is>
      </c>
      <c r="D15" s="176" t="inlineStr">
        <is>
          <t>Sat</t>
        </is>
      </c>
      <c r="E15" s="176" t="inlineStr">
        <is>
          <t>Harga Sat</t>
        </is>
      </c>
      <c r="F15" s="176" t="inlineStr">
        <is>
          <t>Total (Rp)</t>
        </is>
      </c>
      <c r="G15" s="176" t="inlineStr">
        <is>
          <t>Umur</t>
        </is>
      </c>
      <c r="H15" s="177" t="inlineStr">
        <is>
          <t>Catatan</t>
        </is>
      </c>
      <c r="I15" s="178" t="n"/>
      <c r="J15" s="178" t="n"/>
      <c r="K15" s="178" t="n"/>
      <c r="L15" s="179" t="n"/>
    </row>
    <row r="16" ht="22" customHeight="1">
      <c r="A16" s="679" t="n">
        <v>1</v>
      </c>
      <c r="B16" s="680" t="inlineStr">
        <is>
          <t>Panel surya 250Wp monocrystalline</t>
        </is>
      </c>
      <c r="C16" s="271" t="n">
        <v>6</v>
      </c>
      <c r="D16" s="681" t="inlineStr">
        <is>
          <t>unit</t>
        </is>
      </c>
      <c r="E16" s="682" t="n">
        <v>1500000</v>
      </c>
      <c r="F16" s="548" t="n">
        <v>9000000</v>
      </c>
      <c r="G16" s="681" t="inlineStr">
        <is>
          <t>25 thn</t>
        </is>
      </c>
      <c r="H16" s="666" t="inlineStr">
        <is>
          <t>6 panel = 1.500Wp. Pasang di atap atau tiang. Orientasi Utara-Selatan</t>
        </is>
      </c>
      <c r="I16" s="171" t="n"/>
      <c r="J16" s="171" t="n"/>
      <c r="K16" s="171" t="n"/>
      <c r="L16" s="172" t="n"/>
    </row>
    <row r="17" ht="22" customHeight="1">
      <c r="A17" s="232" t="n">
        <v>2</v>
      </c>
      <c r="B17" s="683" t="inlineStr">
        <is>
          <t>Baterai 200Ah deep cycle (gel/lithium)</t>
        </is>
      </c>
      <c r="C17" s="551" t="n">
        <v>4</v>
      </c>
      <c r="D17" s="552" t="inlineStr">
        <is>
          <t>unit</t>
        </is>
      </c>
      <c r="E17" s="682" t="n">
        <v>1800000</v>
      </c>
      <c r="F17" s="548" t="n">
        <v>7200000</v>
      </c>
      <c r="G17" s="552" t="inlineStr">
        <is>
          <t>5–7 thn</t>
        </is>
      </c>
      <c r="H17" s="684" t="inlineStr">
        <is>
          <t>4 baterai seri = 48V 200Ah. Simpan energi untuk malam. Lithium lebih awet</t>
        </is>
      </c>
      <c r="I17" s="171" t="n"/>
      <c r="J17" s="171" t="n"/>
      <c r="K17" s="171" t="n"/>
      <c r="L17" s="172" t="n"/>
    </row>
    <row r="18" ht="22" customHeight="1">
      <c r="A18" s="679" t="n">
        <v>3</v>
      </c>
      <c r="B18" s="680" t="inlineStr">
        <is>
          <t>Inverter 2.000W pure sine wave</t>
        </is>
      </c>
      <c r="C18" s="271" t="n">
        <v>1</v>
      </c>
      <c r="D18" s="681" t="inlineStr">
        <is>
          <t>unit</t>
        </is>
      </c>
      <c r="E18" s="682" t="n">
        <v>2500000</v>
      </c>
      <c r="F18" s="548" t="n">
        <v>2500000</v>
      </c>
      <c r="G18" s="681" t="inlineStr">
        <is>
          <t>8–10 thn</t>
        </is>
      </c>
      <c r="H18" s="666" t="inlineStr">
        <is>
          <t>Pure sine wave penting untuk laptop &amp; kulkas. Merk Growatt / Epever OK</t>
        </is>
      </c>
      <c r="I18" s="171" t="n"/>
      <c r="J18" s="171" t="n"/>
      <c r="K18" s="171" t="n"/>
      <c r="L18" s="172" t="n"/>
    </row>
    <row r="19" ht="22" customHeight="1">
      <c r="A19" s="232" t="n">
        <v>4</v>
      </c>
      <c r="B19" s="683" t="inlineStr">
        <is>
          <t>Solar Charge Controller MPPT 60A</t>
        </is>
      </c>
      <c r="C19" s="551" t="n">
        <v>1</v>
      </c>
      <c r="D19" s="552" t="inlineStr">
        <is>
          <t>unit</t>
        </is>
      </c>
      <c r="E19" s="682" t="n">
        <v>1200000</v>
      </c>
      <c r="F19" s="548" t="n">
        <v>1200000</v>
      </c>
      <c r="G19" s="552" t="inlineStr">
        <is>
          <t>8–10 thn</t>
        </is>
      </c>
      <c r="H19" s="684" t="inlineStr">
        <is>
          <t>MPPT lebih efisien dari PWM. Wajib untuk sistem baterai besar</t>
        </is>
      </c>
      <c r="I19" s="171" t="n"/>
      <c r="J19" s="171" t="n"/>
      <c r="K19" s="171" t="n"/>
      <c r="L19" s="172" t="n"/>
    </row>
    <row r="20" ht="22" customHeight="1">
      <c r="A20" s="679" t="n">
        <v>5</v>
      </c>
      <c r="B20" s="680" t="inlineStr">
        <is>
          <t>Kabel solar (6mm², UV resistant)</t>
        </is>
      </c>
      <c r="C20" s="271" t="n">
        <v>1</v>
      </c>
      <c r="D20" s="681" t="inlineStr">
        <is>
          <t>paket</t>
        </is>
      </c>
      <c r="E20" s="682" t="n">
        <v>800000</v>
      </c>
      <c r="F20" s="548" t="n">
        <v>800000</v>
      </c>
      <c r="G20" s="681" t="inlineStr">
        <is>
          <t>15+ thn</t>
        </is>
      </c>
      <c r="H20" s="666" t="inlineStr">
        <is>
          <t>Kabel khusus solar. Jangan pakai kabel biasa — bisa terbakar</t>
        </is>
      </c>
      <c r="I20" s="171" t="n"/>
      <c r="J20" s="171" t="n"/>
      <c r="K20" s="171" t="n"/>
      <c r="L20" s="172" t="n"/>
    </row>
    <row r="21" ht="22" customHeight="1">
      <c r="A21" s="232" t="n">
        <v>6</v>
      </c>
      <c r="B21" s="683" t="inlineStr">
        <is>
          <t>Mounting panel (bracket + besi siku)</t>
        </is>
      </c>
      <c r="C21" s="551" t="n">
        <v>1</v>
      </c>
      <c r="D21" s="552" t="inlineStr">
        <is>
          <t>set</t>
        </is>
      </c>
      <c r="E21" s="682" t="n">
        <v>1500000</v>
      </c>
      <c r="F21" s="548" t="n">
        <v>1500000</v>
      </c>
      <c r="G21" s="552" t="inlineStr">
        <is>
          <t>15+ thn</t>
        </is>
      </c>
      <c r="H21" s="684" t="inlineStr">
        <is>
          <t>Bisa rakit sendiri dari besi siku + mur baut. Hemat 50%</t>
        </is>
      </c>
      <c r="I21" s="171" t="n"/>
      <c r="J21" s="171" t="n"/>
      <c r="K21" s="171" t="n"/>
      <c r="L21" s="172" t="n"/>
    </row>
    <row r="22" ht="22" customHeight="1">
      <c r="A22" s="679" t="n">
        <v>7</v>
      </c>
      <c r="B22" s="680" t="inlineStr">
        <is>
          <t>Box panel + MCB + fuse + grounding</t>
        </is>
      </c>
      <c r="C22" s="271" t="n">
        <v>1</v>
      </c>
      <c r="D22" s="681" t="inlineStr">
        <is>
          <t>set</t>
        </is>
      </c>
      <c r="E22" s="682" t="n">
        <v>600000</v>
      </c>
      <c r="F22" s="548" t="n">
        <v>600000</v>
      </c>
      <c r="G22" s="681" t="inlineStr">
        <is>
          <t>10+ thn</t>
        </is>
      </c>
      <c r="H22" s="666" t="inlineStr">
        <is>
          <t>Proteksi sistem. Grounding wajib agar tidak korslet saat petir</t>
        </is>
      </c>
      <c r="I22" s="171" t="n"/>
      <c r="J22" s="171" t="n"/>
      <c r="K22" s="171" t="n"/>
      <c r="L22" s="172" t="n"/>
    </row>
    <row r="23" ht="22" customHeight="1">
      <c r="A23" s="232" t="n">
        <v>8</v>
      </c>
      <c r="B23" s="683" t="inlineStr">
        <is>
          <t>Jasa instalasi &amp; commissioning</t>
        </is>
      </c>
      <c r="C23" s="551" t="n">
        <v>1</v>
      </c>
      <c r="D23" s="552" t="inlineStr">
        <is>
          <t>paket</t>
        </is>
      </c>
      <c r="E23" s="682" t="n">
        <v>1500000</v>
      </c>
      <c r="F23" s="548" t="n">
        <v>1500000</v>
      </c>
      <c r="G23" s="552" t="inlineStr">
        <is>
          <t>—</t>
        </is>
      </c>
      <c r="H23" s="684" t="inlineStr">
        <is>
          <t>Teknisi lokal + testing semua komponen. Dokumentasi wiring diagram</t>
        </is>
      </c>
      <c r="I23" s="171" t="n"/>
      <c r="J23" s="171" t="n"/>
      <c r="K23" s="171" t="n"/>
      <c r="L23" s="172" t="n"/>
    </row>
    <row r="24" ht="22" customHeight="1">
      <c r="A24" s="685" t="inlineStr">
        <is>
          <t xml:space="preserve">  ▶ TOTAL SOLAR PANEL 1.500Wp</t>
        </is>
      </c>
      <c r="B24" s="200" t="n"/>
      <c r="C24" s="200" t="n"/>
      <c r="D24" s="200" t="n"/>
      <c r="E24" s="200" t="n"/>
      <c r="F24" s="60" t="n">
        <v>24300000</v>
      </c>
      <c r="G24" s="686" t="inlineStr">
        <is>
          <t>Bandingkan: PLN 3.300VA = Rp 400rb/bln × 36 bln = Rp 14,4jt. Solar BEP ±3.5 thn</t>
        </is>
      </c>
      <c r="H24" s="200" t="n"/>
      <c r="I24" s="200" t="n"/>
      <c r="J24" s="200" t="n"/>
      <c r="K24" s="200" t="n"/>
      <c r="L24" s="203" t="n"/>
    </row>
    <row r="25"/>
    <row r="26" ht="22" customHeight="1">
      <c r="A26" s="173" t="inlineStr">
        <is>
          <t>💧 C. SISTEM AIR BERSIH (Sumur Bor + Pompa + Distribusi)</t>
        </is>
      </c>
      <c r="B26" s="171" t="n"/>
      <c r="C26" s="171" t="n"/>
      <c r="D26" s="171" t="n"/>
      <c r="E26" s="171" t="n"/>
      <c r="F26" s="171" t="n"/>
      <c r="G26" s="171" t="n"/>
      <c r="H26" s="171" t="n"/>
      <c r="I26" s="171" t="n"/>
      <c r="J26" s="171" t="n"/>
      <c r="K26" s="171" t="n"/>
      <c r="L26" s="172" t="n"/>
    </row>
    <row r="27" ht="26" customHeight="1">
      <c r="A27" s="174" t="inlineStr">
        <is>
          <t>No</t>
        </is>
      </c>
      <c r="B27" s="176" t="inlineStr">
        <is>
          <t>Item</t>
        </is>
      </c>
      <c r="C27" s="176" t="inlineStr">
        <is>
          <t>Vol</t>
        </is>
      </c>
      <c r="D27" s="176" t="inlineStr">
        <is>
          <t>Sat</t>
        </is>
      </c>
      <c r="E27" s="176" t="inlineStr">
        <is>
          <t>Harga Sat</t>
        </is>
      </c>
      <c r="F27" s="176" t="inlineStr">
        <is>
          <t>Total (Rp)</t>
        </is>
      </c>
      <c r="G27" s="177" t="inlineStr">
        <is>
          <t>Keterangan</t>
        </is>
      </c>
      <c r="H27" s="178" t="n"/>
      <c r="I27" s="178" t="n"/>
      <c r="J27" s="178" t="n"/>
      <c r="K27" s="178" t="n"/>
      <c r="L27" s="179" t="n"/>
    </row>
    <row r="28" ht="22" customHeight="1">
      <c r="A28" s="679" t="n">
        <v>1</v>
      </c>
      <c r="B28" s="665" t="inlineStr">
        <is>
          <t>Pengeboran sumur dalam (30–50m)</t>
        </is>
      </c>
      <c r="C28" s="271" t="n">
        <v>1</v>
      </c>
      <c r="D28" s="681" t="inlineStr">
        <is>
          <t>titik</t>
        </is>
      </c>
      <c r="E28" s="682" t="n">
        <v>8000000</v>
      </c>
      <c r="F28" s="548" t="n">
        <v>8000000</v>
      </c>
      <c r="G28" s="666" t="inlineStr">
        <is>
          <t>Tanah Bogor biasanya air &lt;25m. Gunakan jasa bor lokal. Minta garansi debit min 5L/dtk</t>
        </is>
      </c>
      <c r="H28" s="171" t="n"/>
      <c r="I28" s="171" t="n"/>
      <c r="J28" s="171" t="n"/>
      <c r="K28" s="171" t="n"/>
      <c r="L28" s="172" t="n"/>
    </row>
    <row r="29" ht="22" customHeight="1">
      <c r="A29" s="232" t="n">
        <v>2</v>
      </c>
      <c r="B29" s="550" t="inlineStr">
        <is>
          <t>Pompa submersible 0.5HP (deep well)</t>
        </is>
      </c>
      <c r="C29" s="551" t="n">
        <v>1</v>
      </c>
      <c r="D29" s="552" t="inlineStr">
        <is>
          <t>unit</t>
        </is>
      </c>
      <c r="E29" s="682" t="n">
        <v>2500000</v>
      </c>
      <c r="F29" s="548" t="n">
        <v>2500000</v>
      </c>
      <c r="G29" s="684" t="inlineStr">
        <is>
          <t>Dorong air dari sumur ke tandon. Grundfos atau Shimizu. Hemat listrik 370W</t>
        </is>
      </c>
      <c r="H29" s="171" t="n"/>
      <c r="I29" s="171" t="n"/>
      <c r="J29" s="171" t="n"/>
      <c r="K29" s="171" t="n"/>
      <c r="L29" s="172" t="n"/>
    </row>
    <row r="30" ht="22" customHeight="1">
      <c r="A30" s="679" t="n">
        <v>3</v>
      </c>
      <c r="B30" s="665" t="inlineStr">
        <is>
          <t>Tandon PE 2.000L (tower 4m)</t>
        </is>
      </c>
      <c r="C30" s="271" t="n">
        <v>2</v>
      </c>
      <c r="D30" s="681" t="inlineStr">
        <is>
          <t>unit</t>
        </is>
      </c>
      <c r="E30" s="682" t="n">
        <v>1800000</v>
      </c>
      <c r="F30" s="548" t="n">
        <v>3600000</v>
      </c>
      <c r="G30" s="666" t="inlineStr">
        <is>
          <t>Gravitasi distribusi ke semua titik. 2 tandon = cadangan 4.000L</t>
        </is>
      </c>
      <c r="H30" s="171" t="n"/>
      <c r="I30" s="171" t="n"/>
      <c r="J30" s="171" t="n"/>
      <c r="K30" s="171" t="n"/>
      <c r="L30" s="172" t="n"/>
    </row>
    <row r="31" ht="22" customHeight="1">
      <c r="A31" s="232" t="n">
        <v>4</v>
      </c>
      <c r="B31" s="550" t="inlineStr">
        <is>
          <t>Tower besi (4m, kapasitas 500kg)</t>
        </is>
      </c>
      <c r="C31" s="551" t="n">
        <v>1</v>
      </c>
      <c r="D31" s="552" t="inlineStr">
        <is>
          <t>unit</t>
        </is>
      </c>
      <c r="E31" s="682" t="n">
        <v>3500000</v>
      </c>
      <c r="F31" s="548" t="n">
        <v>3500000</v>
      </c>
      <c r="G31" s="684" t="inlineStr">
        <is>
          <t>Las lokal lebih murah. Atau pakai rangka bambu untuk Fase awal</t>
        </is>
      </c>
      <c r="H31" s="171" t="n"/>
      <c r="I31" s="171" t="n"/>
      <c r="J31" s="171" t="n"/>
      <c r="K31" s="171" t="n"/>
      <c r="L31" s="172" t="n"/>
    </row>
    <row r="32" ht="22" customHeight="1">
      <c r="A32" s="679" t="n">
        <v>5</v>
      </c>
      <c r="B32" s="665" t="inlineStr">
        <is>
          <t>Instalasi pipa PVC 3/4" ke semua titik</t>
        </is>
      </c>
      <c r="C32" s="271" t="n">
        <v>1</v>
      </c>
      <c r="D32" s="681" t="inlineStr">
        <is>
          <t>paket</t>
        </is>
      </c>
      <c r="E32" s="682" t="n">
        <v>4000000</v>
      </c>
      <c r="F32" s="548" t="n">
        <v>4000000</v>
      </c>
      <c r="G32" s="666" t="inlineStr">
        <is>
          <t>Dapur + kamar mandi + kebun. Pasang valve per zona</t>
        </is>
      </c>
      <c r="H32" s="171" t="n"/>
      <c r="I32" s="171" t="n"/>
      <c r="J32" s="171" t="n"/>
      <c r="K32" s="171" t="n"/>
      <c r="L32" s="172" t="n"/>
    </row>
    <row r="33" ht="22" customHeight="1">
      <c r="A33" s="232" t="n">
        <v>6</v>
      </c>
      <c r="B33" s="550" t="inlineStr">
        <is>
          <t>Filter air (sand filter + karbon aktif)</t>
        </is>
      </c>
      <c r="C33" s="551" t="n">
        <v>1</v>
      </c>
      <c r="D33" s="552" t="inlineStr">
        <is>
          <t>set</t>
        </is>
      </c>
      <c r="E33" s="682" t="n">
        <v>1500000</v>
      </c>
      <c r="F33" s="548" t="n">
        <v>1500000</v>
      </c>
      <c r="G33" s="684" t="inlineStr">
        <is>
          <t>Wajib! Air sumur Bogor kadang mengandung besi. Filter = air layak minum</t>
        </is>
      </c>
      <c r="H33" s="171" t="n"/>
      <c r="I33" s="171" t="n"/>
      <c r="J33" s="171" t="n"/>
      <c r="K33" s="171" t="n"/>
      <c r="L33" s="172" t="n"/>
    </row>
    <row r="34" ht="22" customHeight="1">
      <c r="A34" s="679" t="n">
        <v>7</v>
      </c>
      <c r="B34" s="665" t="inlineStr">
        <is>
          <t>Meteran air + pressure gauge</t>
        </is>
      </c>
      <c r="C34" s="271" t="n">
        <v>2</v>
      </c>
      <c r="D34" s="681" t="inlineStr">
        <is>
          <t>unit</t>
        </is>
      </c>
      <c r="E34" s="682" t="n">
        <v>200000</v>
      </c>
      <c r="F34" s="548" t="n">
        <v>400000</v>
      </c>
      <c r="G34" s="666" t="inlineStr">
        <is>
          <t>Pantau konsumsi air harian. Target &lt;2.000L/hari untuk 20 anak</t>
        </is>
      </c>
      <c r="H34" s="171" t="n"/>
      <c r="I34" s="171" t="n"/>
      <c r="J34" s="171" t="n"/>
      <c r="K34" s="171" t="n"/>
      <c r="L34" s="172" t="n"/>
    </row>
    <row r="35" ht="22" customHeight="1">
      <c r="A35" s="232" t="n">
        <v>8</v>
      </c>
      <c r="B35" s="550" t="inlineStr">
        <is>
          <t>Biaya uji kualitas air (lab)</t>
        </is>
      </c>
      <c r="C35" s="551" t="n">
        <v>1</v>
      </c>
      <c r="D35" s="552" t="inlineStr">
        <is>
          <t>sampel</t>
        </is>
      </c>
      <c r="E35" s="682" t="n">
        <v>500000</v>
      </c>
      <c r="F35" s="548" t="n">
        <v>500000</v>
      </c>
      <c r="G35" s="684" t="inlineStr">
        <is>
          <t>Uji pH, besi, bakteriologis. Lab Dinkes Bogor atau swasta</t>
        </is>
      </c>
      <c r="H35" s="171" t="n"/>
      <c r="I35" s="171" t="n"/>
      <c r="J35" s="171" t="n"/>
      <c r="K35" s="171" t="n"/>
      <c r="L35" s="172" t="n"/>
    </row>
    <row r="36" ht="22" customHeight="1">
      <c r="A36" s="687" t="inlineStr">
        <is>
          <t xml:space="preserve">  ▶ TOTAL SISTEM AIR BERSIH</t>
        </is>
      </c>
      <c r="B36" s="200" t="n"/>
      <c r="C36" s="200" t="n"/>
      <c r="D36" s="200" t="n"/>
      <c r="E36" s="200" t="n"/>
      <c r="F36" s="57" t="n">
        <v>24000000</v>
      </c>
      <c r="G36" s="688" t="inlineStr">
        <is>
          <t>Biaya PDAM Rp 150rb/bln. Sumur = investasi, bebas tagihan selamanya.</t>
        </is>
      </c>
      <c r="H36" s="200" t="n"/>
      <c r="I36" s="200" t="n"/>
      <c r="J36" s="200" t="n"/>
      <c r="K36" s="200" t="n"/>
      <c r="L36" s="203" t="n"/>
    </row>
    <row r="37"/>
    <row r="38" ht="22" customHeight="1">
      <c r="A38" s="173" t="inlineStr">
        <is>
          <t>📊 D. TRACKER KONSUMSI LISTRIK &amp; AIR BULANAN</t>
        </is>
      </c>
      <c r="B38" s="171" t="n"/>
      <c r="C38" s="171" t="n"/>
      <c r="D38" s="171" t="n"/>
      <c r="E38" s="171" t="n"/>
      <c r="F38" s="171" t="n"/>
      <c r="G38" s="171" t="n"/>
      <c r="H38" s="171" t="n"/>
      <c r="I38" s="171" t="n"/>
      <c r="J38" s="171" t="n"/>
      <c r="K38" s="171" t="n"/>
      <c r="L38" s="172" t="n"/>
    </row>
    <row r="39" ht="26" customHeight="1">
      <c r="A39" s="174" t="inlineStr">
        <is>
          <t>Bulan</t>
        </is>
      </c>
      <c r="B39" s="176" t="inlineStr">
        <is>
          <t>kWh PLN</t>
        </is>
      </c>
      <c r="C39" s="176" t="inlineStr">
        <is>
          <t>Tagihan PLN
(Rp)</t>
        </is>
      </c>
      <c r="D39" s="176" t="inlineStr">
        <is>
          <t>Jam Genset</t>
        </is>
      </c>
      <c r="E39" s="176" t="inlineStr">
        <is>
          <t>BBM Genset
(Rp)</t>
        </is>
      </c>
      <c r="F39" s="176" t="inlineStr">
        <is>
          <t>Solar
Produksi (kWh)</t>
        </is>
      </c>
      <c r="G39" s="176" t="inlineStr">
        <is>
          <t>M³ Air</t>
        </is>
      </c>
      <c r="H39" s="176" t="inlineStr">
        <is>
          <t>Tagihan Air
(Rp)</t>
        </is>
      </c>
      <c r="I39" s="176" t="inlineStr">
        <is>
          <t>Total
Energi (Rp)</t>
        </is>
      </c>
      <c r="J39" s="177" t="inlineStr">
        <is>
          <t>Catatan
Efisiensi</t>
        </is>
      </c>
      <c r="K39" s="178" t="n"/>
      <c r="L39" s="179" t="n"/>
    </row>
    <row r="40" ht="18" customHeight="1">
      <c r="A40" s="621" t="inlineStr">
        <is>
          <t>Jan 2025</t>
        </is>
      </c>
      <c r="B40" s="689" t="n"/>
      <c r="C40" s="689" t="n"/>
      <c r="D40" s="689" t="n"/>
      <c r="E40" s="689" t="n"/>
      <c r="F40" s="689" t="n"/>
      <c r="G40" s="689" t="n"/>
      <c r="H40" s="689" t="n"/>
      <c r="I40" s="690">
        <f>IFERROR(C40+E40+H40,"")</f>
        <v/>
      </c>
      <c r="J40" s="689" t="n"/>
      <c r="K40" s="171" t="n"/>
      <c r="L40" s="172" t="n"/>
    </row>
    <row r="41" ht="18" customHeight="1">
      <c r="A41" s="621" t="inlineStr">
        <is>
          <t>Feb 2025</t>
        </is>
      </c>
      <c r="B41" s="622" t="n"/>
      <c r="C41" s="622" t="n"/>
      <c r="D41" s="622" t="n"/>
      <c r="E41" s="622" t="n"/>
      <c r="F41" s="622" t="n"/>
      <c r="G41" s="622" t="n"/>
      <c r="H41" s="622" t="n"/>
      <c r="I41" s="690">
        <f>IFERROR(C41+E41+H41,"")</f>
        <v/>
      </c>
      <c r="J41" s="622" t="n"/>
      <c r="K41" s="171" t="n"/>
      <c r="L41" s="172" t="n"/>
    </row>
    <row r="42" ht="18" customHeight="1">
      <c r="A42" s="621" t="inlineStr">
        <is>
          <t>Mar 2025</t>
        </is>
      </c>
      <c r="B42" s="689" t="n"/>
      <c r="C42" s="689" t="n"/>
      <c r="D42" s="689" t="n"/>
      <c r="E42" s="689" t="n"/>
      <c r="F42" s="689" t="n"/>
      <c r="G42" s="689" t="n"/>
      <c r="H42" s="689" t="n"/>
      <c r="I42" s="690">
        <f>IFERROR(C42+E42+H42,"")</f>
        <v/>
      </c>
      <c r="J42" s="689" t="n"/>
      <c r="K42" s="171" t="n"/>
      <c r="L42" s="172" t="n"/>
    </row>
    <row r="43" ht="18" customHeight="1">
      <c r="A43" s="621" t="inlineStr">
        <is>
          <t>Apr 2025</t>
        </is>
      </c>
      <c r="B43" s="622" t="n"/>
      <c r="C43" s="622" t="n"/>
      <c r="D43" s="622" t="n"/>
      <c r="E43" s="622" t="n"/>
      <c r="F43" s="622" t="n"/>
      <c r="G43" s="622" t="n"/>
      <c r="H43" s="622" t="n"/>
      <c r="I43" s="690">
        <f>IFERROR(C43+E43+H43,"")</f>
        <v/>
      </c>
      <c r="J43" s="622" t="n"/>
      <c r="K43" s="171" t="n"/>
      <c r="L43" s="172" t="n"/>
    </row>
    <row r="44" ht="18" customHeight="1">
      <c r="A44" s="621" t="inlineStr">
        <is>
          <t>Mei 2025</t>
        </is>
      </c>
      <c r="B44" s="689" t="n"/>
      <c r="C44" s="689" t="n"/>
      <c r="D44" s="689" t="n"/>
      <c r="E44" s="689" t="n"/>
      <c r="F44" s="689" t="n"/>
      <c r="G44" s="689" t="n"/>
      <c r="H44" s="689" t="n"/>
      <c r="I44" s="690">
        <f>IFERROR(C44+E44+H44,"")</f>
        <v/>
      </c>
      <c r="J44" s="689" t="n"/>
      <c r="K44" s="171" t="n"/>
      <c r="L44" s="172" t="n"/>
    </row>
    <row r="45" ht="18" customHeight="1">
      <c r="A45" s="621" t="inlineStr">
        <is>
          <t>Jun 2025</t>
        </is>
      </c>
      <c r="B45" s="622" t="n"/>
      <c r="C45" s="622" t="n"/>
      <c r="D45" s="622" t="n"/>
      <c r="E45" s="622" t="n"/>
      <c r="F45" s="622" t="n"/>
      <c r="G45" s="622" t="n"/>
      <c r="H45" s="622" t="n"/>
      <c r="I45" s="690">
        <f>IFERROR(C45+E45+H45,"")</f>
        <v/>
      </c>
      <c r="J45" s="622" t="n"/>
      <c r="K45" s="171" t="n"/>
      <c r="L45" s="172" t="n"/>
    </row>
    <row r="46" ht="18" customHeight="1">
      <c r="A46" s="621" t="inlineStr">
        <is>
          <t>Jul 2025</t>
        </is>
      </c>
      <c r="B46" s="689" t="n"/>
      <c r="C46" s="689" t="n"/>
      <c r="D46" s="689" t="n"/>
      <c r="E46" s="689" t="n"/>
      <c r="F46" s="689" t="n"/>
      <c r="G46" s="689" t="n"/>
      <c r="H46" s="689" t="n"/>
      <c r="I46" s="690">
        <f>IFERROR(C46+E46+H46,"")</f>
        <v/>
      </c>
      <c r="J46" s="689" t="n"/>
      <c r="K46" s="171" t="n"/>
      <c r="L46" s="172" t="n"/>
    </row>
    <row r="47" ht="18" customHeight="1">
      <c r="A47" s="621" t="inlineStr">
        <is>
          <t>Agu 2025</t>
        </is>
      </c>
      <c r="B47" s="622" t="n"/>
      <c r="C47" s="622" t="n"/>
      <c r="D47" s="622" t="n"/>
      <c r="E47" s="622" t="n"/>
      <c r="F47" s="622" t="n"/>
      <c r="G47" s="622" t="n"/>
      <c r="H47" s="622" t="n"/>
      <c r="I47" s="690">
        <f>IFERROR(C47+E47+H47,"")</f>
        <v/>
      </c>
      <c r="J47" s="622" t="n"/>
      <c r="K47" s="171" t="n"/>
      <c r="L47" s="172" t="n"/>
    </row>
    <row r="48" ht="18" customHeight="1">
      <c r="A48" s="621" t="inlineStr">
        <is>
          <t>Sep 2025</t>
        </is>
      </c>
      <c r="B48" s="689" t="n"/>
      <c r="C48" s="689" t="n"/>
      <c r="D48" s="689" t="n"/>
      <c r="E48" s="689" t="n"/>
      <c r="F48" s="689" t="n"/>
      <c r="G48" s="689" t="n"/>
      <c r="H48" s="689" t="n"/>
      <c r="I48" s="690">
        <f>IFERROR(C48+E48+H48,"")</f>
        <v/>
      </c>
      <c r="J48" s="689" t="n"/>
      <c r="K48" s="171" t="n"/>
      <c r="L48" s="172" t="n"/>
    </row>
    <row r="49" ht="18" customHeight="1">
      <c r="A49" s="621" t="inlineStr">
        <is>
          <t>Okt 2025</t>
        </is>
      </c>
      <c r="B49" s="622" t="n"/>
      <c r="C49" s="622" t="n"/>
      <c r="D49" s="622" t="n"/>
      <c r="E49" s="622" t="n"/>
      <c r="F49" s="622" t="n"/>
      <c r="G49" s="622" t="n"/>
      <c r="H49" s="622" t="n"/>
      <c r="I49" s="690">
        <f>IFERROR(C49+E49+H49,"")</f>
        <v/>
      </c>
      <c r="J49" s="622" t="n"/>
      <c r="K49" s="171" t="n"/>
      <c r="L49" s="172" t="n"/>
    </row>
    <row r="50" ht="18" customHeight="1">
      <c r="A50" s="621" t="inlineStr">
        <is>
          <t>Nov 2025</t>
        </is>
      </c>
      <c r="B50" s="689" t="n"/>
      <c r="C50" s="689" t="n"/>
      <c r="D50" s="689" t="n"/>
      <c r="E50" s="689" t="n"/>
      <c r="F50" s="689" t="n"/>
      <c r="G50" s="689" t="n"/>
      <c r="H50" s="689" t="n"/>
      <c r="I50" s="690">
        <f>IFERROR(C50+E50+H50,"")</f>
        <v/>
      </c>
      <c r="J50" s="689" t="n"/>
      <c r="K50" s="171" t="n"/>
      <c r="L50" s="172" t="n"/>
    </row>
    <row r="51" ht="18" customHeight="1">
      <c r="A51" s="621" t="inlineStr">
        <is>
          <t>Des 2025</t>
        </is>
      </c>
      <c r="B51" s="622" t="n"/>
      <c r="C51" s="622" t="n"/>
      <c r="D51" s="622" t="n"/>
      <c r="E51" s="622" t="n"/>
      <c r="F51" s="622" t="n"/>
      <c r="G51" s="622" t="n"/>
      <c r="H51" s="622" t="n"/>
      <c r="I51" s="690">
        <f>IFERROR(C51+E51+H51,"")</f>
        <v/>
      </c>
      <c r="J51" s="622" t="n"/>
      <c r="K51" s="171" t="n"/>
      <c r="L51" s="172" t="n"/>
    </row>
    <row r="52"/>
    <row r="53" ht="28" customHeight="1">
      <c r="A53" s="691" t="inlineStr">
        <is>
          <t xml:space="preserve">  🏆 TOTAL INVESTASI ENERGI &amp; AIR</t>
        </is>
      </c>
      <c r="B53" s="200" t="n"/>
      <c r="C53" s="200" t="n"/>
      <c r="D53" s="200" t="n"/>
      <c r="E53" s="200" t="n"/>
      <c r="F53" s="692" t="n">
        <v>48300000</v>
      </c>
      <c r="G53" s="693" t="inlineStr">
        <is>
          <t>Solar + Air Bersih. Hemat tagihan Rp 400rb–600rb/bln vs PLN+PDAM.</t>
        </is>
      </c>
      <c r="H53" s="200" t="n"/>
      <c r="I53" s="200" t="n"/>
      <c r="J53" s="200" t="n"/>
      <c r="K53" s="200" t="n"/>
      <c r="L53" s="203" t="n"/>
    </row>
  </sheetData>
  <mergeCells count="51">
    <mergeCell ref="J49:L49"/>
    <mergeCell ref="A24:E24"/>
    <mergeCell ref="H20:L20"/>
    <mergeCell ref="G28:L28"/>
    <mergeCell ref="H10:L10"/>
    <mergeCell ref="J45:L45"/>
    <mergeCell ref="G53:L53"/>
    <mergeCell ref="A36:E36"/>
    <mergeCell ref="G34:L34"/>
    <mergeCell ref="G30:L30"/>
    <mergeCell ref="H9:L9"/>
    <mergeCell ref="A26:L26"/>
    <mergeCell ref="A2:L2"/>
    <mergeCell ref="G33:L33"/>
    <mergeCell ref="J41:L41"/>
    <mergeCell ref="G24:L24"/>
    <mergeCell ref="H21:L21"/>
    <mergeCell ref="H6:L6"/>
    <mergeCell ref="A14:L14"/>
    <mergeCell ref="J47:L47"/>
    <mergeCell ref="G35:L35"/>
    <mergeCell ref="J43:L43"/>
    <mergeCell ref="J50:L50"/>
    <mergeCell ref="G29:L29"/>
    <mergeCell ref="A4:L4"/>
    <mergeCell ref="A38:L38"/>
    <mergeCell ref="J46:L46"/>
    <mergeCell ref="H17:L17"/>
    <mergeCell ref="J51:L51"/>
    <mergeCell ref="H11:L11"/>
    <mergeCell ref="H7:L7"/>
    <mergeCell ref="G32:L32"/>
    <mergeCell ref="J42:L42"/>
    <mergeCell ref="H16:L16"/>
    <mergeCell ref="A13:L13"/>
    <mergeCell ref="G31:L31"/>
    <mergeCell ref="J39:L39"/>
    <mergeCell ref="J48:L48"/>
    <mergeCell ref="H19:L19"/>
    <mergeCell ref="H5:L5"/>
    <mergeCell ref="H22:L22"/>
    <mergeCell ref="J44:L44"/>
    <mergeCell ref="A53:E53"/>
    <mergeCell ref="G27:L27"/>
    <mergeCell ref="G36:L36"/>
    <mergeCell ref="H15:L15"/>
    <mergeCell ref="A1:L1"/>
    <mergeCell ref="H18:L18"/>
    <mergeCell ref="J40:L40"/>
    <mergeCell ref="H23:L23"/>
    <mergeCell ref="H8:L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620" t="inlineStr">
        <is>
          <t>🧠 PROGRAM PSIKOLOGI &amp; KELAS PENGEMBANGAN DIRI — NAWA CAHAYA</t>
        </is>
      </c>
    </row>
    <row r="2" ht="18" customHeight="1">
      <c r="A2" s="169" t="inlineStr">
        <is>
          <t>Konseling Individual · Terapi Kelompok · Kelas Karakter · Psikologi Perkembangan Anak</t>
        </is>
      </c>
    </row>
    <row r="3"/>
    <row r="4" ht="28" customHeight="1">
      <c r="A4" s="694" t="inlineStr">
        <is>
          <t xml:space="preserve">  💡 Program psikologi bukan terapi klinis penuh — melainkan pendampingan perkembangan karakter, pemulihan trauma ringan, dan pembentukan identitas positif. Minimal 1 psikolog/konselor anak per 15 anak binaan.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/>
    <row r="6" ht="22" customHeight="1">
      <c r="A6" s="695" t="inlineStr">
        <is>
          <t>📅 A. JADWAL PROGRAM MINGGUAN</t>
        </is>
      </c>
      <c r="B6" s="171" t="n"/>
      <c r="C6" s="171" t="n"/>
      <c r="D6" s="171" t="n"/>
      <c r="E6" s="171" t="n"/>
      <c r="F6" s="171" t="n"/>
      <c r="G6" s="171" t="n"/>
      <c r="H6" s="171" t="n"/>
      <c r="I6" s="171" t="n"/>
      <c r="J6" s="171" t="n"/>
      <c r="K6" s="171" t="n"/>
      <c r="L6" s="172" t="n"/>
    </row>
    <row r="7" ht="26" customHeight="1">
      <c r="A7" s="696" t="inlineStr">
        <is>
          <t>Hari</t>
        </is>
      </c>
      <c r="B7" s="697" t="inlineStr">
        <is>
          <t>Waktu</t>
        </is>
      </c>
      <c r="C7" s="697" t="inlineStr">
        <is>
          <t>Program</t>
        </is>
      </c>
      <c r="D7" s="697" t="inlineStr">
        <is>
          <t>Fasilitator</t>
        </is>
      </c>
      <c r="E7" s="697" t="inlineStr">
        <is>
          <t>Target Anak</t>
        </is>
      </c>
      <c r="F7" s="697" t="inlineStr">
        <is>
          <t>Metode</t>
        </is>
      </c>
      <c r="G7" s="697" t="inlineStr">
        <is>
          <t>Materi Inti</t>
        </is>
      </c>
      <c r="H7" s="698" t="inlineStr">
        <is>
          <t>Output / Target</t>
        </is>
      </c>
      <c r="I7" s="178" t="n"/>
      <c r="J7" s="178" t="n"/>
      <c r="K7" s="178" t="n"/>
      <c r="L7" s="179" t="n"/>
    </row>
    <row r="8" ht="24" customHeight="1">
      <c r="A8" s="699" t="inlineStr">
        <is>
          <t>Senin</t>
        </is>
      </c>
      <c r="B8" s="681" t="inlineStr">
        <is>
          <t>16:00–17:00</t>
        </is>
      </c>
      <c r="C8" s="700" t="inlineStr">
        <is>
          <t>Sesi Kelompok — Cerita &amp; Ekspresi</t>
        </is>
      </c>
      <c r="D8" s="158" t="inlineStr">
        <is>
          <t>Konselor/Relawan</t>
        </is>
      </c>
      <c r="E8" s="701" t="inlineStr">
        <is>
          <t>Semua</t>
        </is>
      </c>
      <c r="F8" s="158" t="inlineStr">
        <is>
          <t>Storytelling + Art therapy</t>
        </is>
      </c>
      <c r="G8" s="158" t="inlineStr">
        <is>
          <t>Ekspresi perasaan, kepercayaan diri</t>
        </is>
      </c>
      <c r="H8" s="702" t="inlineStr">
        <is>
          <t>Anak mampu mengungkapkan emosi</t>
        </is>
      </c>
      <c r="I8" s="171" t="n"/>
      <c r="J8" s="171" t="n"/>
      <c r="K8" s="171" t="n"/>
      <c r="L8" s="172" t="n"/>
    </row>
    <row r="9" ht="24" customHeight="1">
      <c r="A9" s="703" t="inlineStr">
        <is>
          <t>Selasa</t>
        </is>
      </c>
      <c r="B9" s="546" t="inlineStr">
        <is>
          <t>19:30–20:30</t>
        </is>
      </c>
      <c r="C9" s="704" t="inlineStr">
        <is>
          <t>Kelas Karakter — Integritas &amp; Tanggung Jawab</t>
        </is>
      </c>
      <c r="D9" s="156" t="inlineStr">
        <is>
          <t>Mentor/Founder</t>
        </is>
      </c>
      <c r="E9" s="552" t="inlineStr">
        <is>
          <t>Semua</t>
        </is>
      </c>
      <c r="F9" s="156" t="inlineStr">
        <is>
          <t>Diskusi kasus nyata + role play</t>
        </is>
      </c>
      <c r="G9" s="156" t="inlineStr">
        <is>
          <t>Nilai-nilai hidup, etika, kejujuran</t>
        </is>
      </c>
      <c r="H9" s="684" t="inlineStr">
        <is>
          <t>Karakter kuat, bisa dipercaya</t>
        </is>
      </c>
      <c r="I9" s="171" t="n"/>
      <c r="J9" s="171" t="n"/>
      <c r="K9" s="171" t="n"/>
      <c r="L9" s="172" t="n"/>
    </row>
    <row r="10" ht="24" customHeight="1">
      <c r="A10" s="705" t="inlineStr">
        <is>
          <t>Rabu</t>
        </is>
      </c>
      <c r="B10" s="706" t="inlineStr">
        <is>
          <t>15:00–16:00</t>
        </is>
      </c>
      <c r="C10" s="700" t="inlineStr">
        <is>
          <t>Konseling Individual (jadwal bergantian)</t>
        </is>
      </c>
      <c r="D10" s="158" t="inlineStr">
        <is>
          <t>Psikolog/Konselor</t>
        </is>
      </c>
      <c r="E10" s="701" t="inlineStr">
        <is>
          <t>2–3 anak/sesi</t>
        </is>
      </c>
      <c r="F10" s="158" t="inlineStr">
        <is>
          <t>1-on-1, confidential</t>
        </is>
      </c>
      <c r="G10" s="158" t="inlineStr">
        <is>
          <t>Masalah personal, target hidup</t>
        </is>
      </c>
      <c r="H10" s="702" t="inlineStr">
        <is>
          <t>Resolusi isu, rencana ke depan</t>
        </is>
      </c>
      <c r="I10" s="171" t="n"/>
      <c r="J10" s="171" t="n"/>
      <c r="K10" s="171" t="n"/>
      <c r="L10" s="172" t="n"/>
    </row>
    <row r="11" ht="24" customHeight="1">
      <c r="A11" s="707" t="inlineStr">
        <is>
          <t>Kamis</t>
        </is>
      </c>
      <c r="B11" s="708" t="inlineStr">
        <is>
          <t>19:30–20:30</t>
        </is>
      </c>
      <c r="C11" s="704" t="inlineStr">
        <is>
          <t>Kelas Junior CEO — Mindset Wirausaha</t>
        </is>
      </c>
      <c r="D11" s="156" t="inlineStr">
        <is>
          <t>Mentor Bisnis</t>
        </is>
      </c>
      <c r="E11" s="552" t="inlineStr">
        <is>
          <t>Anak 15thn+</t>
        </is>
      </c>
      <c r="F11" s="156" t="inlineStr">
        <is>
          <t>Presentasi + simulasi usaha</t>
        </is>
      </c>
      <c r="G11" s="156" t="inlineStr">
        <is>
          <t>Keuangan dasar, ide bisnis, pitch</t>
        </is>
      </c>
      <c r="H11" s="684" t="inlineStr">
        <is>
          <t>Punya rencana usaha sendiri</t>
        </is>
      </c>
      <c r="I11" s="171" t="n"/>
      <c r="J11" s="171" t="n"/>
      <c r="K11" s="171" t="n"/>
      <c r="L11" s="172" t="n"/>
    </row>
    <row r="12" ht="24" customHeight="1">
      <c r="A12" s="709" t="inlineStr">
        <is>
          <t>Jumat</t>
        </is>
      </c>
      <c r="B12" s="701" t="inlineStr">
        <is>
          <t>15:00–17:00</t>
        </is>
      </c>
      <c r="C12" s="700" t="inlineStr">
        <is>
          <t>Outdoor Activity + Refleksi</t>
        </is>
      </c>
      <c r="D12" s="158" t="inlineStr">
        <is>
          <t>Semua Tim</t>
        </is>
      </c>
      <c r="E12" s="701" t="inlineStr">
        <is>
          <t>Semua</t>
        </is>
      </c>
      <c r="F12" s="158" t="inlineStr">
        <is>
          <t>Kegiatan lapangan + jurnal</t>
        </is>
      </c>
      <c r="G12" s="158" t="inlineStr">
        <is>
          <t>Syukur, kerja sama, leadership</t>
        </is>
      </c>
      <c r="H12" s="702" t="inlineStr">
        <is>
          <t>Team bonding, jurnal refleksi</t>
        </is>
      </c>
      <c r="I12" s="171" t="n"/>
      <c r="J12" s="171" t="n"/>
      <c r="K12" s="171" t="n"/>
      <c r="L12" s="172" t="n"/>
    </row>
    <row r="13" ht="24" customHeight="1">
      <c r="A13" s="710" t="inlineStr">
        <is>
          <t>Sabtu</t>
        </is>
      </c>
      <c r="B13" s="556" t="inlineStr">
        <is>
          <t>09:00–11:00</t>
        </is>
      </c>
      <c r="C13" s="704" t="inlineStr">
        <is>
          <t>Workshop Skill (rotasi: jahit/IT/tani)</t>
        </is>
      </c>
      <c r="D13" s="156" t="inlineStr">
        <is>
          <t>Instruktur Skill</t>
        </is>
      </c>
      <c r="E13" s="552" t="inlineStr">
        <is>
          <t>Semua</t>
        </is>
      </c>
      <c r="F13" s="156" t="inlineStr">
        <is>
          <t>Praktek langsung</t>
        </is>
      </c>
      <c r="G13" s="156" t="inlineStr">
        <is>
          <t>Skill spesifik per modul</t>
        </is>
      </c>
      <c r="H13" s="684" t="inlineStr">
        <is>
          <t>Sertifikat penguasaan skill</t>
        </is>
      </c>
      <c r="I13" s="171" t="n"/>
      <c r="J13" s="171" t="n"/>
      <c r="K13" s="171" t="n"/>
      <c r="L13" s="172" t="n"/>
    </row>
    <row r="14" ht="24" customHeight="1">
      <c r="A14" s="711" t="inlineStr">
        <is>
          <t>Minggu</t>
        </is>
      </c>
      <c r="B14" s="712" t="inlineStr">
        <is>
          <t>09:00–10:00</t>
        </is>
      </c>
      <c r="C14" s="700" t="inlineStr">
        <is>
          <t>Ibadah &amp; Refleksi Spiritual</t>
        </is>
      </c>
      <c r="D14" s="158" t="inlineStr">
        <is>
          <t>Terbuka</t>
        </is>
      </c>
      <c r="E14" s="701" t="inlineStr">
        <is>
          <t>Semua</t>
        </is>
      </c>
      <c r="F14" s="158" t="inlineStr">
        <is>
          <t>Sharing &amp; doa</t>
        </is>
      </c>
      <c r="G14" s="158" t="inlineStr">
        <is>
          <t>Syukur, nilai spiritual, harapan</t>
        </is>
      </c>
      <c r="H14" s="702" t="inlineStr">
        <is>
          <t>Fondasi spiritual yang kuat</t>
        </is>
      </c>
      <c r="I14" s="171" t="n"/>
      <c r="J14" s="171" t="n"/>
      <c r="K14" s="171" t="n"/>
      <c r="L14" s="172" t="n"/>
    </row>
    <row r="15"/>
    <row r="16" ht="22" customHeight="1">
      <c r="A16" s="695" t="inlineStr">
        <is>
          <t>📋 B. TRACKER SESI KONSELING INDIVIDUAL</t>
        </is>
      </c>
      <c r="B16" s="171" t="n"/>
      <c r="C16" s="171" t="n"/>
      <c r="D16" s="171" t="n"/>
      <c r="E16" s="171" t="n"/>
      <c r="F16" s="171" t="n"/>
      <c r="G16" s="171" t="n"/>
      <c r="H16" s="171" t="n"/>
      <c r="I16" s="171" t="n"/>
      <c r="J16" s="171" t="n"/>
      <c r="K16" s="171" t="n"/>
      <c r="L16" s="172" t="n"/>
    </row>
    <row r="17" ht="26" customHeight="1">
      <c r="A17" s="696" t="inlineStr">
        <is>
          <t>Tgl Sesi</t>
        </is>
      </c>
      <c r="B17" s="697" t="inlineStr">
        <is>
          <t>ID Anak</t>
        </is>
      </c>
      <c r="C17" s="697" t="inlineStr">
        <is>
          <t>Nama</t>
        </is>
      </c>
      <c r="D17" s="697" t="inlineStr">
        <is>
          <t>Konselor</t>
        </is>
      </c>
      <c r="E17" s="697" t="inlineStr">
        <is>
          <t>Topik/Isu</t>
        </is>
      </c>
      <c r="F17" s="697" t="inlineStr">
        <is>
          <t>Observasi</t>
        </is>
      </c>
      <c r="G17" s="697" t="inlineStr">
        <is>
          <t>Rekomendasi</t>
        </is>
      </c>
      <c r="H17" s="697" t="inlineStr">
        <is>
          <t>Follow-up</t>
        </is>
      </c>
      <c r="I17" s="697" t="inlineStr">
        <is>
          <t>Status</t>
        </is>
      </c>
      <c r="J17" s="698" t="inlineStr">
        <is>
          <t>Catatan Rahasia
(Internal)</t>
        </is>
      </c>
      <c r="K17" s="178" t="n"/>
      <c r="L17" s="179" t="n"/>
    </row>
    <row r="18" ht="20" customHeight="1">
      <c r="A18" s="713" t="n"/>
      <c r="B18" s="624" t="inlineStr">
        <is>
          <t>NC-001</t>
        </is>
      </c>
      <c r="C18" s="622" t="n"/>
      <c r="D18" s="622" t="n"/>
      <c r="E18" s="622" t="n"/>
      <c r="F18" s="622" t="n"/>
      <c r="G18" s="622" t="n"/>
      <c r="H18" s="622" t="n"/>
      <c r="I18" s="622" t="n"/>
      <c r="J18" s="714" t="n"/>
      <c r="K18" s="171" t="n"/>
      <c r="L18" s="172" t="n"/>
    </row>
    <row r="19" ht="20" customHeight="1">
      <c r="A19" s="715" t="n"/>
      <c r="B19" s="624" t="inlineStr">
        <is>
          <t>NC-002</t>
        </is>
      </c>
      <c r="C19" s="716" t="n"/>
      <c r="D19" s="716" t="n"/>
      <c r="E19" s="716" t="n"/>
      <c r="F19" s="716" t="n"/>
      <c r="G19" s="716" t="n"/>
      <c r="H19" s="716" t="n"/>
      <c r="I19" s="716" t="n"/>
      <c r="J19" s="714" t="n"/>
      <c r="K19" s="171" t="n"/>
      <c r="L19" s="172" t="n"/>
    </row>
    <row r="20" ht="20" customHeight="1">
      <c r="A20" s="713" t="n"/>
      <c r="B20" s="624" t="inlineStr">
        <is>
          <t>NC-003</t>
        </is>
      </c>
      <c r="C20" s="622" t="n"/>
      <c r="D20" s="622" t="n"/>
      <c r="E20" s="622" t="n"/>
      <c r="F20" s="622" t="n"/>
      <c r="G20" s="622" t="n"/>
      <c r="H20" s="622" t="n"/>
      <c r="I20" s="622" t="n"/>
      <c r="J20" s="714" t="n"/>
      <c r="K20" s="171" t="n"/>
      <c r="L20" s="172" t="n"/>
    </row>
    <row r="21" ht="20" customHeight="1">
      <c r="A21" s="715" t="n"/>
      <c r="B21" s="624" t="inlineStr">
        <is>
          <t>NC-004</t>
        </is>
      </c>
      <c r="C21" s="716" t="n"/>
      <c r="D21" s="716" t="n"/>
      <c r="E21" s="716" t="n"/>
      <c r="F21" s="716" t="n"/>
      <c r="G21" s="716" t="n"/>
      <c r="H21" s="716" t="n"/>
      <c r="I21" s="716" t="n"/>
      <c r="J21" s="714" t="n"/>
      <c r="K21" s="171" t="n"/>
      <c r="L21" s="172" t="n"/>
    </row>
    <row r="22" ht="20" customHeight="1">
      <c r="A22" s="713" t="n"/>
      <c r="B22" s="624" t="inlineStr">
        <is>
          <t>NC-005</t>
        </is>
      </c>
      <c r="C22" s="622" t="n"/>
      <c r="D22" s="622" t="n"/>
      <c r="E22" s="622" t="n"/>
      <c r="F22" s="622" t="n"/>
      <c r="G22" s="622" t="n"/>
      <c r="H22" s="622" t="n"/>
      <c r="I22" s="622" t="n"/>
      <c r="J22" s="714" t="n"/>
      <c r="K22" s="171" t="n"/>
      <c r="L22" s="172" t="n"/>
    </row>
    <row r="23" ht="20" customHeight="1">
      <c r="A23" s="715" t="n"/>
      <c r="B23" s="624" t="inlineStr">
        <is>
          <t>NC-006</t>
        </is>
      </c>
      <c r="C23" s="716" t="n"/>
      <c r="D23" s="716" t="n"/>
      <c r="E23" s="716" t="n"/>
      <c r="F23" s="716" t="n"/>
      <c r="G23" s="716" t="n"/>
      <c r="H23" s="716" t="n"/>
      <c r="I23" s="716" t="n"/>
      <c r="J23" s="714" t="n"/>
      <c r="K23" s="171" t="n"/>
      <c r="L23" s="172" t="n"/>
    </row>
    <row r="24" ht="20" customHeight="1">
      <c r="A24" s="713" t="n"/>
      <c r="B24" s="624" t="inlineStr">
        <is>
          <t>NC-007</t>
        </is>
      </c>
      <c r="C24" s="622" t="n"/>
      <c r="D24" s="622" t="n"/>
      <c r="E24" s="622" t="n"/>
      <c r="F24" s="622" t="n"/>
      <c r="G24" s="622" t="n"/>
      <c r="H24" s="622" t="n"/>
      <c r="I24" s="622" t="n"/>
      <c r="J24" s="714" t="n"/>
      <c r="K24" s="171" t="n"/>
      <c r="L24" s="172" t="n"/>
    </row>
    <row r="25" ht="20" customHeight="1">
      <c r="A25" s="715" t="n"/>
      <c r="B25" s="624" t="inlineStr">
        <is>
          <t>NC-008</t>
        </is>
      </c>
      <c r="C25" s="716" t="n"/>
      <c r="D25" s="716" t="n"/>
      <c r="E25" s="716" t="n"/>
      <c r="F25" s="716" t="n"/>
      <c r="G25" s="716" t="n"/>
      <c r="H25" s="716" t="n"/>
      <c r="I25" s="716" t="n"/>
      <c r="J25" s="714" t="n"/>
      <c r="K25" s="171" t="n"/>
      <c r="L25" s="172" t="n"/>
    </row>
    <row r="26" ht="20" customHeight="1">
      <c r="A26" s="713" t="n"/>
      <c r="B26" s="624" t="inlineStr">
        <is>
          <t>NC-009</t>
        </is>
      </c>
      <c r="C26" s="622" t="n"/>
      <c r="D26" s="622" t="n"/>
      <c r="E26" s="622" t="n"/>
      <c r="F26" s="622" t="n"/>
      <c r="G26" s="622" t="n"/>
      <c r="H26" s="622" t="n"/>
      <c r="I26" s="622" t="n"/>
      <c r="J26" s="714" t="n"/>
      <c r="K26" s="171" t="n"/>
      <c r="L26" s="172" t="n"/>
    </row>
    <row r="27" ht="20" customHeight="1">
      <c r="A27" s="715" t="n"/>
      <c r="B27" s="624" t="inlineStr">
        <is>
          <t>NC-010</t>
        </is>
      </c>
      <c r="C27" s="716" t="n"/>
      <c r="D27" s="716" t="n"/>
      <c r="E27" s="716" t="n"/>
      <c r="F27" s="716" t="n"/>
      <c r="G27" s="716" t="n"/>
      <c r="H27" s="716" t="n"/>
      <c r="I27" s="716" t="n"/>
      <c r="J27" s="714" t="n"/>
      <c r="K27" s="171" t="n"/>
      <c r="L27" s="172" t="n"/>
    </row>
    <row r="28" ht="20" customHeight="1">
      <c r="A28" s="713" t="n"/>
      <c r="B28" s="624" t="inlineStr">
        <is>
          <t>NC-011</t>
        </is>
      </c>
      <c r="C28" s="622" t="n"/>
      <c r="D28" s="622" t="n"/>
      <c r="E28" s="622" t="n"/>
      <c r="F28" s="622" t="n"/>
      <c r="G28" s="622" t="n"/>
      <c r="H28" s="622" t="n"/>
      <c r="I28" s="622" t="n"/>
      <c r="J28" s="714" t="n"/>
      <c r="K28" s="171" t="n"/>
      <c r="L28" s="172" t="n"/>
    </row>
    <row r="29" ht="20" customHeight="1">
      <c r="A29" s="715" t="n"/>
      <c r="B29" s="624" t="inlineStr">
        <is>
          <t>NC-012</t>
        </is>
      </c>
      <c r="C29" s="716" t="n"/>
      <c r="D29" s="716" t="n"/>
      <c r="E29" s="716" t="n"/>
      <c r="F29" s="716" t="n"/>
      <c r="G29" s="716" t="n"/>
      <c r="H29" s="716" t="n"/>
      <c r="I29" s="716" t="n"/>
      <c r="J29" s="714" t="n"/>
      <c r="K29" s="171" t="n"/>
      <c r="L29" s="172" t="n"/>
    </row>
    <row r="30" ht="20" customHeight="1">
      <c r="A30" s="713" t="n"/>
      <c r="B30" s="624" t="inlineStr">
        <is>
          <t>NC-013</t>
        </is>
      </c>
      <c r="C30" s="622" t="n"/>
      <c r="D30" s="622" t="n"/>
      <c r="E30" s="622" t="n"/>
      <c r="F30" s="622" t="n"/>
      <c r="G30" s="622" t="n"/>
      <c r="H30" s="622" t="n"/>
      <c r="I30" s="622" t="n"/>
      <c r="J30" s="714" t="n"/>
      <c r="K30" s="171" t="n"/>
      <c r="L30" s="172" t="n"/>
    </row>
    <row r="31" ht="20" customHeight="1">
      <c r="A31" s="715" t="n"/>
      <c r="B31" s="624" t="inlineStr">
        <is>
          <t>NC-014</t>
        </is>
      </c>
      <c r="C31" s="716" t="n"/>
      <c r="D31" s="716" t="n"/>
      <c r="E31" s="716" t="n"/>
      <c r="F31" s="716" t="n"/>
      <c r="G31" s="716" t="n"/>
      <c r="H31" s="716" t="n"/>
      <c r="I31" s="716" t="n"/>
      <c r="J31" s="714" t="n"/>
      <c r="K31" s="171" t="n"/>
      <c r="L31" s="172" t="n"/>
    </row>
    <row r="32" ht="20" customHeight="1">
      <c r="A32" s="713" t="n"/>
      <c r="B32" s="624" t="inlineStr">
        <is>
          <t>NC-015</t>
        </is>
      </c>
      <c r="C32" s="622" t="n"/>
      <c r="D32" s="622" t="n"/>
      <c r="E32" s="622" t="n"/>
      <c r="F32" s="622" t="n"/>
      <c r="G32" s="622" t="n"/>
      <c r="H32" s="622" t="n"/>
      <c r="I32" s="622" t="n"/>
      <c r="J32" s="714" t="n"/>
      <c r="K32" s="171" t="n"/>
      <c r="L32" s="172" t="n"/>
    </row>
    <row r="33" ht="20" customHeight="1">
      <c r="A33" s="715" t="n"/>
      <c r="B33" s="624" t="inlineStr">
        <is>
          <t>NC-016</t>
        </is>
      </c>
      <c r="C33" s="716" t="n"/>
      <c r="D33" s="716" t="n"/>
      <c r="E33" s="716" t="n"/>
      <c r="F33" s="716" t="n"/>
      <c r="G33" s="716" t="n"/>
      <c r="H33" s="716" t="n"/>
      <c r="I33" s="716" t="n"/>
      <c r="J33" s="714" t="n"/>
      <c r="K33" s="171" t="n"/>
      <c r="L33" s="172" t="n"/>
    </row>
    <row r="34" ht="20" customHeight="1">
      <c r="A34" s="713" t="n"/>
      <c r="B34" s="624" t="inlineStr">
        <is>
          <t>NC-017</t>
        </is>
      </c>
      <c r="C34" s="622" t="n"/>
      <c r="D34" s="622" t="n"/>
      <c r="E34" s="622" t="n"/>
      <c r="F34" s="622" t="n"/>
      <c r="G34" s="622" t="n"/>
      <c r="H34" s="622" t="n"/>
      <c r="I34" s="622" t="n"/>
      <c r="J34" s="714" t="n"/>
      <c r="K34" s="171" t="n"/>
      <c r="L34" s="172" t="n"/>
    </row>
    <row r="35" ht="20" customHeight="1">
      <c r="A35" s="715" t="n"/>
      <c r="B35" s="624" t="inlineStr">
        <is>
          <t>NC-018</t>
        </is>
      </c>
      <c r="C35" s="716" t="n"/>
      <c r="D35" s="716" t="n"/>
      <c r="E35" s="716" t="n"/>
      <c r="F35" s="716" t="n"/>
      <c r="G35" s="716" t="n"/>
      <c r="H35" s="716" t="n"/>
      <c r="I35" s="716" t="n"/>
      <c r="J35" s="714" t="n"/>
      <c r="K35" s="171" t="n"/>
      <c r="L35" s="172" t="n"/>
    </row>
    <row r="36" ht="20" customHeight="1">
      <c r="A36" s="713" t="n"/>
      <c r="B36" s="624" t="inlineStr">
        <is>
          <t>NC-019</t>
        </is>
      </c>
      <c r="C36" s="622" t="n"/>
      <c r="D36" s="622" t="n"/>
      <c r="E36" s="622" t="n"/>
      <c r="F36" s="622" t="n"/>
      <c r="G36" s="622" t="n"/>
      <c r="H36" s="622" t="n"/>
      <c r="I36" s="622" t="n"/>
      <c r="J36" s="714" t="n"/>
      <c r="K36" s="171" t="n"/>
      <c r="L36" s="172" t="n"/>
    </row>
    <row r="37" ht="20" customHeight="1">
      <c r="A37" s="715" t="n"/>
      <c r="B37" s="624" t="inlineStr">
        <is>
          <t>NC-020</t>
        </is>
      </c>
      <c r="C37" s="716" t="n"/>
      <c r="D37" s="716" t="n"/>
      <c r="E37" s="716" t="n"/>
      <c r="F37" s="716" t="n"/>
      <c r="G37" s="716" t="n"/>
      <c r="H37" s="716" t="n"/>
      <c r="I37" s="716" t="n"/>
      <c r="J37" s="714" t="n"/>
      <c r="K37" s="171" t="n"/>
      <c r="L37" s="172" t="n"/>
    </row>
    <row r="38"/>
    <row r="39" ht="22" customHeight="1">
      <c r="A39" s="695" t="inlineStr">
        <is>
          <t>🌡️ C. PENILAIAN KONDISI PSIKOLOGIS ANAK (Skala 1–5, Update per 3 Bulan)</t>
        </is>
      </c>
      <c r="B39" s="171" t="n"/>
      <c r="C39" s="171" t="n"/>
      <c r="D39" s="171" t="n"/>
      <c r="E39" s="171" t="n"/>
      <c r="F39" s="171" t="n"/>
      <c r="G39" s="171" t="n"/>
      <c r="H39" s="171" t="n"/>
      <c r="I39" s="171" t="n"/>
      <c r="J39" s="171" t="n"/>
      <c r="K39" s="171" t="n"/>
      <c r="L39" s="172" t="n"/>
    </row>
    <row r="40" ht="26" customHeight="1">
      <c r="A40" s="696" t="inlineStr">
        <is>
          <t>ID</t>
        </is>
      </c>
      <c r="B40" s="697" t="inlineStr">
        <is>
          <t>Nama</t>
        </is>
      </c>
      <c r="C40" s="697" t="inlineStr">
        <is>
          <t>Tgl Awal
Masuk</t>
        </is>
      </c>
      <c r="D40" s="697" t="inlineStr">
        <is>
          <t>Kondisi
Emosional</t>
        </is>
      </c>
      <c r="E40" s="697" t="inlineStr">
        <is>
          <t>Kepercayaan
Diri</t>
        </is>
      </c>
      <c r="F40" s="697" t="inlineStr">
        <is>
          <t>Kemampuan
Sosial</t>
        </is>
      </c>
      <c r="G40" s="697" t="inlineStr">
        <is>
          <t>Resiliensi
&amp; Coping</t>
        </is>
      </c>
      <c r="H40" s="697" t="inlineStr">
        <is>
          <t>Motivasi
Belajar</t>
        </is>
      </c>
      <c r="I40" s="697" t="inlineStr">
        <is>
          <t>Identitas
Diri</t>
        </is>
      </c>
      <c r="J40" s="697" t="inlineStr">
        <is>
          <t>Spiritual</t>
        </is>
      </c>
      <c r="K40" s="697" t="inlineStr">
        <is>
          <t>Rata2</t>
        </is>
      </c>
      <c r="L40" s="698" t="inlineStr">
        <is>
          <t>Status Keseluruhan</t>
        </is>
      </c>
    </row>
    <row r="41" ht="20" customHeight="1">
      <c r="A41" s="624" t="inlineStr">
        <is>
          <t>NC-001</t>
        </is>
      </c>
      <c r="B41" s="625" t="n"/>
      <c r="C41" s="713" t="n"/>
      <c r="D41" s="717" t="n"/>
      <c r="E41" s="717" t="n"/>
      <c r="F41" s="717" t="n"/>
      <c r="G41" s="717" t="n"/>
      <c r="H41" s="717" t="n"/>
      <c r="I41" s="717" t="n"/>
      <c r="J41" s="717" t="n"/>
      <c r="K41" s="718">
        <f>IFERROR(AVERAGE(D41:J41),"")</f>
        <v/>
      </c>
      <c r="L41" s="628">
        <f>IFERROR(IF(K41&gt;=4,"🌟 Tumbuh Baik",IF(K41&gt;=3,"📈 Berkembang",IF(K41&gt;=2,"🤝 Butuh Dukungan","⚠️ Intervensi Segera"))),"—")</f>
        <v/>
      </c>
    </row>
    <row r="42" ht="20" customHeight="1">
      <c r="A42" s="624" t="inlineStr">
        <is>
          <t>NC-002</t>
        </is>
      </c>
      <c r="B42" s="631" t="n"/>
      <c r="C42" s="715" t="n"/>
      <c r="D42" s="717" t="n"/>
      <c r="E42" s="717" t="n"/>
      <c r="F42" s="717" t="n"/>
      <c r="G42" s="717" t="n"/>
      <c r="H42" s="717" t="n"/>
      <c r="I42" s="717" t="n"/>
      <c r="J42" s="717" t="n"/>
      <c r="K42" s="718">
        <f>IFERROR(AVERAGE(D42:J42),"")</f>
        <v/>
      </c>
      <c r="L42" s="628">
        <f>IFERROR(IF(K42&gt;=4,"🌟 Tumbuh Baik",IF(K42&gt;=3,"📈 Berkembang",IF(K42&gt;=2,"🤝 Butuh Dukungan","⚠️ Intervensi Segera"))),"—")</f>
        <v/>
      </c>
    </row>
    <row r="43" ht="20" customHeight="1">
      <c r="A43" s="624" t="inlineStr">
        <is>
          <t>NC-003</t>
        </is>
      </c>
      <c r="B43" s="625" t="n"/>
      <c r="C43" s="713" t="n"/>
      <c r="D43" s="717" t="n"/>
      <c r="E43" s="717" t="n"/>
      <c r="F43" s="717" t="n"/>
      <c r="G43" s="717" t="n"/>
      <c r="H43" s="717" t="n"/>
      <c r="I43" s="717" t="n"/>
      <c r="J43" s="717" t="n"/>
      <c r="K43" s="718">
        <f>IFERROR(AVERAGE(D43:J43),"")</f>
        <v/>
      </c>
      <c r="L43" s="628">
        <f>IFERROR(IF(K43&gt;=4,"🌟 Tumbuh Baik",IF(K43&gt;=3,"📈 Berkembang",IF(K43&gt;=2,"🤝 Butuh Dukungan","⚠️ Intervensi Segera"))),"—")</f>
        <v/>
      </c>
    </row>
    <row r="44" ht="20" customHeight="1">
      <c r="A44" s="624" t="inlineStr">
        <is>
          <t>NC-004</t>
        </is>
      </c>
      <c r="B44" s="631" t="n"/>
      <c r="C44" s="715" t="n"/>
      <c r="D44" s="717" t="n"/>
      <c r="E44" s="717" t="n"/>
      <c r="F44" s="717" t="n"/>
      <c r="G44" s="717" t="n"/>
      <c r="H44" s="717" t="n"/>
      <c r="I44" s="717" t="n"/>
      <c r="J44" s="717" t="n"/>
      <c r="K44" s="718">
        <f>IFERROR(AVERAGE(D44:J44),"")</f>
        <v/>
      </c>
      <c r="L44" s="628">
        <f>IFERROR(IF(K44&gt;=4,"🌟 Tumbuh Baik",IF(K44&gt;=3,"📈 Berkembang",IF(K44&gt;=2,"🤝 Butuh Dukungan","⚠️ Intervensi Segera"))),"—")</f>
        <v/>
      </c>
    </row>
    <row r="45" ht="20" customHeight="1">
      <c r="A45" s="624" t="inlineStr">
        <is>
          <t>NC-005</t>
        </is>
      </c>
      <c r="B45" s="625" t="n"/>
      <c r="C45" s="713" t="n"/>
      <c r="D45" s="717" t="n"/>
      <c r="E45" s="717" t="n"/>
      <c r="F45" s="717" t="n"/>
      <c r="G45" s="717" t="n"/>
      <c r="H45" s="717" t="n"/>
      <c r="I45" s="717" t="n"/>
      <c r="J45" s="717" t="n"/>
      <c r="K45" s="718">
        <f>IFERROR(AVERAGE(D45:J45),"")</f>
        <v/>
      </c>
      <c r="L45" s="628">
        <f>IFERROR(IF(K45&gt;=4,"🌟 Tumbuh Baik",IF(K45&gt;=3,"📈 Berkembang",IF(K45&gt;=2,"🤝 Butuh Dukungan","⚠️ Intervensi Segera"))),"—")</f>
        <v/>
      </c>
    </row>
    <row r="46" ht="20" customHeight="1">
      <c r="A46" s="624" t="inlineStr">
        <is>
          <t>NC-006</t>
        </is>
      </c>
      <c r="B46" s="631" t="n"/>
      <c r="C46" s="715" t="n"/>
      <c r="D46" s="717" t="n"/>
      <c r="E46" s="717" t="n"/>
      <c r="F46" s="717" t="n"/>
      <c r="G46" s="717" t="n"/>
      <c r="H46" s="717" t="n"/>
      <c r="I46" s="717" t="n"/>
      <c r="J46" s="717" t="n"/>
      <c r="K46" s="718">
        <f>IFERROR(AVERAGE(D46:J46),"")</f>
        <v/>
      </c>
      <c r="L46" s="628">
        <f>IFERROR(IF(K46&gt;=4,"🌟 Tumbuh Baik",IF(K46&gt;=3,"📈 Berkembang",IF(K46&gt;=2,"🤝 Butuh Dukungan","⚠️ Intervensi Segera"))),"—")</f>
        <v/>
      </c>
    </row>
    <row r="47" ht="20" customHeight="1">
      <c r="A47" s="624" t="inlineStr">
        <is>
          <t>NC-007</t>
        </is>
      </c>
      <c r="B47" s="625" t="n"/>
      <c r="C47" s="713" t="n"/>
      <c r="D47" s="717" t="n"/>
      <c r="E47" s="717" t="n"/>
      <c r="F47" s="717" t="n"/>
      <c r="G47" s="717" t="n"/>
      <c r="H47" s="717" t="n"/>
      <c r="I47" s="717" t="n"/>
      <c r="J47" s="717" t="n"/>
      <c r="K47" s="718">
        <f>IFERROR(AVERAGE(D47:J47),"")</f>
        <v/>
      </c>
      <c r="L47" s="628">
        <f>IFERROR(IF(K47&gt;=4,"🌟 Tumbuh Baik",IF(K47&gt;=3,"📈 Berkembang",IF(K47&gt;=2,"🤝 Butuh Dukungan","⚠️ Intervensi Segera"))),"—")</f>
        <v/>
      </c>
    </row>
    <row r="48" ht="20" customHeight="1">
      <c r="A48" s="624" t="inlineStr">
        <is>
          <t>NC-008</t>
        </is>
      </c>
      <c r="B48" s="631" t="n"/>
      <c r="C48" s="715" t="n"/>
      <c r="D48" s="717" t="n"/>
      <c r="E48" s="717" t="n"/>
      <c r="F48" s="717" t="n"/>
      <c r="G48" s="717" t="n"/>
      <c r="H48" s="717" t="n"/>
      <c r="I48" s="717" t="n"/>
      <c r="J48" s="717" t="n"/>
      <c r="K48" s="718">
        <f>IFERROR(AVERAGE(D48:J48),"")</f>
        <v/>
      </c>
      <c r="L48" s="628">
        <f>IFERROR(IF(K48&gt;=4,"🌟 Tumbuh Baik",IF(K48&gt;=3,"📈 Berkembang",IF(K48&gt;=2,"🤝 Butuh Dukungan","⚠️ Intervensi Segera"))),"—")</f>
        <v/>
      </c>
    </row>
    <row r="49" ht="20" customHeight="1">
      <c r="A49" s="624" t="inlineStr">
        <is>
          <t>NC-009</t>
        </is>
      </c>
      <c r="B49" s="625" t="n"/>
      <c r="C49" s="713" t="n"/>
      <c r="D49" s="717" t="n"/>
      <c r="E49" s="717" t="n"/>
      <c r="F49" s="717" t="n"/>
      <c r="G49" s="717" t="n"/>
      <c r="H49" s="717" t="n"/>
      <c r="I49" s="717" t="n"/>
      <c r="J49" s="717" t="n"/>
      <c r="K49" s="718">
        <f>IFERROR(AVERAGE(D49:J49),"")</f>
        <v/>
      </c>
      <c r="L49" s="628">
        <f>IFERROR(IF(K49&gt;=4,"🌟 Tumbuh Baik",IF(K49&gt;=3,"📈 Berkembang",IF(K49&gt;=2,"🤝 Butuh Dukungan","⚠️ Intervensi Segera"))),"—")</f>
        <v/>
      </c>
    </row>
    <row r="50" ht="20" customHeight="1">
      <c r="A50" s="624" t="inlineStr">
        <is>
          <t>NC-010</t>
        </is>
      </c>
      <c r="B50" s="631" t="n"/>
      <c r="C50" s="715" t="n"/>
      <c r="D50" s="717" t="n"/>
      <c r="E50" s="717" t="n"/>
      <c r="F50" s="717" t="n"/>
      <c r="G50" s="717" t="n"/>
      <c r="H50" s="717" t="n"/>
      <c r="I50" s="717" t="n"/>
      <c r="J50" s="717" t="n"/>
      <c r="K50" s="718">
        <f>IFERROR(AVERAGE(D50:J50),"")</f>
        <v/>
      </c>
      <c r="L50" s="628">
        <f>IFERROR(IF(K50&gt;=4,"🌟 Tumbuh Baik",IF(K50&gt;=3,"📈 Berkembang",IF(K50&gt;=2,"🤝 Butuh Dukungan","⚠️ Intervensi Segera"))),"—")</f>
        <v/>
      </c>
    </row>
    <row r="51" ht="20" customHeight="1">
      <c r="A51" s="624" t="inlineStr">
        <is>
          <t>NC-011</t>
        </is>
      </c>
      <c r="B51" s="625" t="n"/>
      <c r="C51" s="713" t="n"/>
      <c r="D51" s="717" t="n"/>
      <c r="E51" s="717" t="n"/>
      <c r="F51" s="717" t="n"/>
      <c r="G51" s="717" t="n"/>
      <c r="H51" s="717" t="n"/>
      <c r="I51" s="717" t="n"/>
      <c r="J51" s="717" t="n"/>
      <c r="K51" s="718">
        <f>IFERROR(AVERAGE(D51:J51),"")</f>
        <v/>
      </c>
      <c r="L51" s="628">
        <f>IFERROR(IF(K51&gt;=4,"🌟 Tumbuh Baik",IF(K51&gt;=3,"📈 Berkembang",IF(K51&gt;=2,"🤝 Butuh Dukungan","⚠️ Intervensi Segera"))),"—")</f>
        <v/>
      </c>
    </row>
    <row r="52" ht="20" customHeight="1">
      <c r="A52" s="624" t="inlineStr">
        <is>
          <t>NC-012</t>
        </is>
      </c>
      <c r="B52" s="631" t="n"/>
      <c r="C52" s="715" t="n"/>
      <c r="D52" s="717" t="n"/>
      <c r="E52" s="717" t="n"/>
      <c r="F52" s="717" t="n"/>
      <c r="G52" s="717" t="n"/>
      <c r="H52" s="717" t="n"/>
      <c r="I52" s="717" t="n"/>
      <c r="J52" s="717" t="n"/>
      <c r="K52" s="718">
        <f>IFERROR(AVERAGE(D52:J52),"")</f>
        <v/>
      </c>
      <c r="L52" s="628">
        <f>IFERROR(IF(K52&gt;=4,"🌟 Tumbuh Baik",IF(K52&gt;=3,"📈 Berkembang",IF(K52&gt;=2,"🤝 Butuh Dukungan","⚠️ Intervensi Segera"))),"—")</f>
        <v/>
      </c>
    </row>
    <row r="53" ht="20" customHeight="1">
      <c r="A53" s="624" t="inlineStr">
        <is>
          <t>NC-013</t>
        </is>
      </c>
      <c r="B53" s="625" t="n"/>
      <c r="C53" s="713" t="n"/>
      <c r="D53" s="717" t="n"/>
      <c r="E53" s="717" t="n"/>
      <c r="F53" s="717" t="n"/>
      <c r="G53" s="717" t="n"/>
      <c r="H53" s="717" t="n"/>
      <c r="I53" s="717" t="n"/>
      <c r="J53" s="717" t="n"/>
      <c r="K53" s="718">
        <f>IFERROR(AVERAGE(D53:J53),"")</f>
        <v/>
      </c>
      <c r="L53" s="628">
        <f>IFERROR(IF(K53&gt;=4,"🌟 Tumbuh Baik",IF(K53&gt;=3,"📈 Berkembang",IF(K53&gt;=2,"🤝 Butuh Dukungan","⚠️ Intervensi Segera"))),"—")</f>
        <v/>
      </c>
    </row>
    <row r="54" ht="20" customHeight="1">
      <c r="A54" s="624" t="inlineStr">
        <is>
          <t>NC-014</t>
        </is>
      </c>
      <c r="B54" s="631" t="n"/>
      <c r="C54" s="715" t="n"/>
      <c r="D54" s="717" t="n"/>
      <c r="E54" s="717" t="n"/>
      <c r="F54" s="717" t="n"/>
      <c r="G54" s="717" t="n"/>
      <c r="H54" s="717" t="n"/>
      <c r="I54" s="717" t="n"/>
      <c r="J54" s="717" t="n"/>
      <c r="K54" s="718">
        <f>IFERROR(AVERAGE(D54:J54),"")</f>
        <v/>
      </c>
      <c r="L54" s="628">
        <f>IFERROR(IF(K54&gt;=4,"🌟 Tumbuh Baik",IF(K54&gt;=3,"📈 Berkembang",IF(K54&gt;=2,"🤝 Butuh Dukungan","⚠️ Intervensi Segera"))),"—")</f>
        <v/>
      </c>
    </row>
    <row r="55" ht="20" customHeight="1">
      <c r="A55" s="624" t="inlineStr">
        <is>
          <t>NC-015</t>
        </is>
      </c>
      <c r="B55" s="625" t="n"/>
      <c r="C55" s="713" t="n"/>
      <c r="D55" s="717" t="n"/>
      <c r="E55" s="717" t="n"/>
      <c r="F55" s="717" t="n"/>
      <c r="G55" s="717" t="n"/>
      <c r="H55" s="717" t="n"/>
      <c r="I55" s="717" t="n"/>
      <c r="J55" s="717" t="n"/>
      <c r="K55" s="718">
        <f>IFERROR(AVERAGE(D55:J55),"")</f>
        <v/>
      </c>
      <c r="L55" s="628">
        <f>IFERROR(IF(K55&gt;=4,"🌟 Tumbuh Baik",IF(K55&gt;=3,"📈 Berkembang",IF(K55&gt;=2,"🤝 Butuh Dukungan","⚠️ Intervensi Segera"))),"—")</f>
        <v/>
      </c>
    </row>
    <row r="56" ht="20" customHeight="1">
      <c r="A56" s="624" t="inlineStr">
        <is>
          <t>NC-016</t>
        </is>
      </c>
      <c r="B56" s="631" t="n"/>
      <c r="C56" s="715" t="n"/>
      <c r="D56" s="717" t="n"/>
      <c r="E56" s="717" t="n"/>
      <c r="F56" s="717" t="n"/>
      <c r="G56" s="717" t="n"/>
      <c r="H56" s="717" t="n"/>
      <c r="I56" s="717" t="n"/>
      <c r="J56" s="717" t="n"/>
      <c r="K56" s="718">
        <f>IFERROR(AVERAGE(D56:J56),"")</f>
        <v/>
      </c>
      <c r="L56" s="628">
        <f>IFERROR(IF(K56&gt;=4,"🌟 Tumbuh Baik",IF(K56&gt;=3,"📈 Berkembang",IF(K56&gt;=2,"🤝 Butuh Dukungan","⚠️ Intervensi Segera"))),"—")</f>
        <v/>
      </c>
    </row>
    <row r="57" ht="20" customHeight="1">
      <c r="A57" s="624" t="inlineStr">
        <is>
          <t>NC-017</t>
        </is>
      </c>
      <c r="B57" s="625" t="n"/>
      <c r="C57" s="713" t="n"/>
      <c r="D57" s="717" t="n"/>
      <c r="E57" s="717" t="n"/>
      <c r="F57" s="717" t="n"/>
      <c r="G57" s="717" t="n"/>
      <c r="H57" s="717" t="n"/>
      <c r="I57" s="717" t="n"/>
      <c r="J57" s="717" t="n"/>
      <c r="K57" s="718">
        <f>IFERROR(AVERAGE(D57:J57),"")</f>
        <v/>
      </c>
      <c r="L57" s="628">
        <f>IFERROR(IF(K57&gt;=4,"🌟 Tumbuh Baik",IF(K57&gt;=3,"📈 Berkembang",IF(K57&gt;=2,"🤝 Butuh Dukungan","⚠️ Intervensi Segera"))),"—")</f>
        <v/>
      </c>
    </row>
    <row r="58" ht="20" customHeight="1">
      <c r="A58" s="624" t="inlineStr">
        <is>
          <t>NC-018</t>
        </is>
      </c>
      <c r="B58" s="631" t="n"/>
      <c r="C58" s="715" t="n"/>
      <c r="D58" s="717" t="n"/>
      <c r="E58" s="717" t="n"/>
      <c r="F58" s="717" t="n"/>
      <c r="G58" s="717" t="n"/>
      <c r="H58" s="717" t="n"/>
      <c r="I58" s="717" t="n"/>
      <c r="J58" s="717" t="n"/>
      <c r="K58" s="718">
        <f>IFERROR(AVERAGE(D58:J58),"")</f>
        <v/>
      </c>
      <c r="L58" s="628">
        <f>IFERROR(IF(K58&gt;=4,"🌟 Tumbuh Baik",IF(K58&gt;=3,"📈 Berkembang",IF(K58&gt;=2,"🤝 Butuh Dukungan","⚠️ Intervensi Segera"))),"—")</f>
        <v/>
      </c>
    </row>
    <row r="59" ht="20" customHeight="1">
      <c r="A59" s="624" t="inlineStr">
        <is>
          <t>NC-019</t>
        </is>
      </c>
      <c r="B59" s="625" t="n"/>
      <c r="C59" s="713" t="n"/>
      <c r="D59" s="717" t="n"/>
      <c r="E59" s="717" t="n"/>
      <c r="F59" s="717" t="n"/>
      <c r="G59" s="717" t="n"/>
      <c r="H59" s="717" t="n"/>
      <c r="I59" s="717" t="n"/>
      <c r="J59" s="717" t="n"/>
      <c r="K59" s="718">
        <f>IFERROR(AVERAGE(D59:J59),"")</f>
        <v/>
      </c>
      <c r="L59" s="628">
        <f>IFERROR(IF(K59&gt;=4,"🌟 Tumbuh Baik",IF(K59&gt;=3,"📈 Berkembang",IF(K59&gt;=2,"🤝 Butuh Dukungan","⚠️ Intervensi Segera"))),"—")</f>
        <v/>
      </c>
    </row>
    <row r="60" ht="20" customHeight="1">
      <c r="A60" s="624" t="inlineStr">
        <is>
          <t>NC-020</t>
        </is>
      </c>
      <c r="B60" s="631" t="n"/>
      <c r="C60" s="715" t="n"/>
      <c r="D60" s="717" t="n"/>
      <c r="E60" s="717" t="n"/>
      <c r="F60" s="717" t="n"/>
      <c r="G60" s="717" t="n"/>
      <c r="H60" s="717" t="n"/>
      <c r="I60" s="717" t="n"/>
      <c r="J60" s="717" t="n"/>
      <c r="K60" s="718">
        <f>IFERROR(AVERAGE(D60:J60),"")</f>
        <v/>
      </c>
      <c r="L60" s="628">
        <f>IFERROR(IF(K60&gt;=4,"🌟 Tumbuh Baik",IF(K60&gt;=3,"📈 Berkembang",IF(K60&gt;=2,"🤝 Butuh Dukungan","⚠️ Intervensi Segera"))),"—")</f>
        <v/>
      </c>
    </row>
  </sheetData>
  <mergeCells count="35">
    <mergeCell ref="A16:L16"/>
    <mergeCell ref="J24:L24"/>
    <mergeCell ref="J36:L36"/>
    <mergeCell ref="J27:L27"/>
    <mergeCell ref="H10:L10"/>
    <mergeCell ref="J35:L35"/>
    <mergeCell ref="J26:L26"/>
    <mergeCell ref="J20:L20"/>
    <mergeCell ref="H9:L9"/>
    <mergeCell ref="J25:L25"/>
    <mergeCell ref="A2:L2"/>
    <mergeCell ref="J32:L32"/>
    <mergeCell ref="J22:L22"/>
    <mergeCell ref="J31:L31"/>
    <mergeCell ref="J21:L21"/>
    <mergeCell ref="A4:L4"/>
    <mergeCell ref="J33:L33"/>
    <mergeCell ref="H11:L11"/>
    <mergeCell ref="H7:L7"/>
    <mergeCell ref="J18:L18"/>
    <mergeCell ref="J23:L23"/>
    <mergeCell ref="J17:L17"/>
    <mergeCell ref="H13:L13"/>
    <mergeCell ref="A39:L39"/>
    <mergeCell ref="J29:L29"/>
    <mergeCell ref="H12:L12"/>
    <mergeCell ref="J28:L28"/>
    <mergeCell ref="J19:L19"/>
    <mergeCell ref="J37:L37"/>
    <mergeCell ref="A1:L1"/>
    <mergeCell ref="A6:L6"/>
    <mergeCell ref="H14:L14"/>
    <mergeCell ref="J34:L34"/>
    <mergeCell ref="H8:L8"/>
    <mergeCell ref="J30:L3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5" customWidth="1" min="5" max="5"/>
    <col width="15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42" customHeight="1">
      <c r="A1" s="620" t="inlineStr">
        <is>
          <t>🌱 SOP PERTANIAN ORGANIK 100% NATURAL — NAWA CAHAYA</t>
        </is>
      </c>
    </row>
    <row r="2" ht="18" customHeight="1">
      <c r="A2" s="169" t="inlineStr">
        <is>
          <t>ZERO Pestisida Kimia · ZERO Pupuk Sintetis Berlebihan · Sistem Terpadu Ternak + Kebun + Kompos</t>
        </is>
      </c>
    </row>
    <row r="3"/>
    <row r="4" ht="30" customHeight="1">
      <c r="A4" s="719" t="inlineStr">
        <is>
          <t xml:space="preserve">  🌿 FILOSOFI: Pertanian Nawa Cahaya menggunakan sistem ALAMI 100%. Pupuk dari kotoran ternak sendiri (kompos + cair). Pestisida dari tanaman (serai, bawang putih, kunyit). Hasil = lebih sehat untuk anak binaan + nilai jual PREMIUM untuk pasar organik &amp; ekspor.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/>
    <row r="6" ht="22" customHeight="1">
      <c r="A6" s="720" t="inlineStr">
        <is>
          <t>🌿 A. PUPUK ORGANIK DARI SUMBER SENDIRI (ZERO BELI)</t>
        </is>
      </c>
      <c r="B6" s="171" t="n"/>
      <c r="C6" s="171" t="n"/>
      <c r="D6" s="171" t="n"/>
      <c r="E6" s="171" t="n"/>
      <c r="F6" s="171" t="n"/>
      <c r="G6" s="171" t="n"/>
      <c r="H6" s="171" t="n"/>
      <c r="I6" s="171" t="n"/>
      <c r="J6" s="171" t="n"/>
      <c r="K6" s="171" t="n"/>
      <c r="L6" s="172" t="n"/>
    </row>
    <row r="7" ht="26" customHeight="1">
      <c r="A7" s="721" t="inlineStr">
        <is>
          <t>No</t>
        </is>
      </c>
      <c r="B7" s="722" t="inlineStr">
        <is>
          <t>Jenis Pupuk</t>
        </is>
      </c>
      <c r="C7" s="722" t="inlineStr">
        <is>
          <t>Bahan Baku</t>
        </is>
      </c>
      <c r="D7" s="722" t="inlineStr">
        <is>
          <t>Cara Buat</t>
        </is>
      </c>
      <c r="E7" s="722" t="inlineStr">
        <is>
          <t>Waktu Proses</t>
        </is>
      </c>
      <c r="F7" s="722" t="inlineStr">
        <is>
          <t>Dosis Aplikasi</t>
        </is>
      </c>
      <c r="G7" s="722" t="inlineStr">
        <is>
          <t>Frekuensi</t>
        </is>
      </c>
      <c r="H7" s="723" t="inlineStr">
        <is>
          <t>Manfaat Utama</t>
        </is>
      </c>
      <c r="I7" s="178" t="n"/>
      <c r="J7" s="178" t="n"/>
      <c r="K7" s="178" t="n"/>
      <c r="L7" s="179" t="n"/>
    </row>
    <row r="8" ht="30" customHeight="1">
      <c r="A8" s="229" t="n">
        <v>1</v>
      </c>
      <c r="B8" s="724" t="inlineStr">
        <is>
          <t>Kompos Padat</t>
        </is>
      </c>
      <c r="C8" s="160" t="inlineStr">
        <is>
          <t>Kotoran kambing/sapi + jerami + sekam + EM4</t>
        </is>
      </c>
      <c r="D8" s="160" t="inlineStr">
        <is>
          <t>Tumpuk dalam pit 2×2m. Siram EM4. Balik setiap 3 hari. Tutup plastik.</t>
        </is>
      </c>
      <c r="E8" s="546" t="inlineStr">
        <is>
          <t>21–30 hari</t>
        </is>
      </c>
      <c r="F8" s="160" t="inlineStr">
        <is>
          <t>2–3 kg per tanaman saat tanam</t>
        </is>
      </c>
      <c r="G8" s="546" t="inlineStr">
        <is>
          <t>Setiap musim tanam</t>
        </is>
      </c>
      <c r="H8" s="668" t="inlineStr">
        <is>
          <t>Perbaikan struktur tanah, mikroba, N-P-K alami</t>
        </is>
      </c>
      <c r="I8" s="171" t="n"/>
      <c r="J8" s="171" t="n"/>
      <c r="K8" s="171" t="n"/>
      <c r="L8" s="172" t="n"/>
    </row>
    <row r="9" ht="30" customHeight="1">
      <c r="A9" s="232" t="n">
        <v>2</v>
      </c>
      <c r="B9" s="725" t="inlineStr">
        <is>
          <t>Pupuk Cair Kandang (PCK)</t>
        </is>
      </c>
      <c r="C9" s="156" t="inlineStr">
        <is>
          <t>Air rendaman kotoran ternak 1:10</t>
        </is>
      </c>
      <c r="D9" s="156" t="inlineStr">
        <is>
          <t>Rendam 1kg kotoran dalam 10L air. Diamkan 3–7 hari. Saring. Encerkan 1:5.</t>
        </is>
      </c>
      <c r="E9" s="552" t="inlineStr">
        <is>
          <t>3–7 hari</t>
        </is>
      </c>
      <c r="F9" s="156" t="inlineStr">
        <is>
          <t>Siram 200ml per tanaman</t>
        </is>
      </c>
      <c r="G9" s="552" t="inlineStr">
        <is>
          <t>1× seminggu</t>
        </is>
      </c>
      <c r="H9" s="684" t="inlineStr">
        <is>
          <t>Cepat diserap akar, N tinggi, stimulasi pertumbuhan</t>
        </is>
      </c>
      <c r="I9" s="171" t="n"/>
      <c r="J9" s="171" t="n"/>
      <c r="K9" s="171" t="n"/>
      <c r="L9" s="172" t="n"/>
    </row>
    <row r="10" ht="30" customHeight="1">
      <c r="A10" s="229" t="n">
        <v>3</v>
      </c>
      <c r="B10" s="724" t="inlineStr">
        <is>
          <t>MOL (Mikroorganisme Lokal)</t>
        </is>
      </c>
      <c r="C10" s="160" t="inlineStr">
        <is>
          <t>Nasi basi + gula merah + air kelapa + kulit buah</t>
        </is>
      </c>
      <c r="D10" s="160" t="inlineStr">
        <is>
          <t>Campur semua dalam galon. Tutup dengan kain. Diamkan 5–7 hari. Bau asam = siap.</t>
        </is>
      </c>
      <c r="E10" s="546" t="inlineStr">
        <is>
          <t>5–7 hari</t>
        </is>
      </c>
      <c r="F10" s="160" t="inlineStr">
        <is>
          <t>Encerkan 1:10, semprot daun &amp; tanah</t>
        </is>
      </c>
      <c r="G10" s="546" t="inlineStr">
        <is>
          <t>2× sebulan</t>
        </is>
      </c>
      <c r="H10" s="668" t="inlineStr">
        <is>
          <t>Mikroba mengurai bahan organik, sehatkan tanah</t>
        </is>
      </c>
      <c r="I10" s="171" t="n"/>
      <c r="J10" s="171" t="n"/>
      <c r="K10" s="171" t="n"/>
      <c r="L10" s="172" t="n"/>
    </row>
    <row r="11" ht="30" customHeight="1">
      <c r="A11" s="232" t="n">
        <v>4</v>
      </c>
      <c r="B11" s="725" t="inlineStr">
        <is>
          <t>Kompos Daun / Hijau (Green Manure)</t>
        </is>
      </c>
      <c r="C11" s="156" t="inlineStr">
        <is>
          <t>Daun sereh, kunyit, batang jagung, gulma</t>
        </is>
      </c>
      <c r="D11" s="156" t="inlineStr">
        <is>
          <t>Cacah + kubur langsung ke tanah 2 minggu sebelum tanam. Atau tumpuk + EM4.</t>
        </is>
      </c>
      <c r="E11" s="552" t="inlineStr">
        <is>
          <t>14 hari</t>
        </is>
      </c>
      <c r="F11" s="156" t="inlineStr">
        <is>
          <t>Benam 3–5 kg per m²</t>
        </is>
      </c>
      <c r="G11" s="552" t="inlineStr">
        <is>
          <t>Sebelum tanam</t>
        </is>
      </c>
      <c r="H11" s="684" t="inlineStr">
        <is>
          <t>C-organik naik, cacing tanah aktif, tanah gembur</t>
        </is>
      </c>
      <c r="I11" s="171" t="n"/>
      <c r="J11" s="171" t="n"/>
      <c r="K11" s="171" t="n"/>
      <c r="L11" s="172" t="n"/>
    </row>
    <row r="12" ht="30" customHeight="1">
      <c r="A12" s="229" t="n">
        <v>5</v>
      </c>
      <c r="B12" s="724" t="inlineStr">
        <is>
          <t>Biogas Slurry (Ampas Biodigester)</t>
        </is>
      </c>
      <c r="C12" s="160" t="inlineStr">
        <is>
          <t>Sisa fermentasi dari biodigester</t>
        </is>
      </c>
      <c r="D12" s="160" t="inlineStr">
        <is>
          <t>Langsung pakai — tidak perlu proses lagi. Sudah dalam bentuk cair.</t>
        </is>
      </c>
      <c r="E12" s="546" t="inlineStr">
        <is>
          <t>Instan</t>
        </is>
      </c>
      <c r="F12" s="160" t="inlineStr">
        <is>
          <t>Siram 1L per tanaman</t>
        </is>
      </c>
      <c r="G12" s="546" t="inlineStr">
        <is>
          <t>Seminggu sekali</t>
        </is>
      </c>
      <c r="H12" s="668" t="inlineStr">
        <is>
          <t>Pupuk cair premium, pH stabil, gratis dari biogas</t>
        </is>
      </c>
      <c r="I12" s="171" t="n"/>
      <c r="J12" s="171" t="n"/>
      <c r="K12" s="171" t="n"/>
      <c r="L12" s="172" t="n"/>
    </row>
    <row r="13" ht="30" customHeight="1">
      <c r="A13" s="232" t="n">
        <v>6</v>
      </c>
      <c r="B13" s="725" t="inlineStr">
        <is>
          <t>Biourin Kambing / Sapi</t>
        </is>
      </c>
      <c r="C13" s="156" t="inlineStr">
        <is>
          <t>Urin segar + air 1:5 + kunyit bubuk</t>
        </is>
      </c>
      <c r="D13" s="156" t="inlineStr">
        <is>
          <t>Tampung urin dalam drum tertutup. Campur air 1:5. Diamkan 3 hari. Saring.</t>
        </is>
      </c>
      <c r="E13" s="552" t="inlineStr">
        <is>
          <t>3 hari</t>
        </is>
      </c>
      <c r="F13" s="156" t="inlineStr">
        <is>
          <t>Siram 300ml per tanaman</t>
        </is>
      </c>
      <c r="G13" s="552" t="inlineStr">
        <is>
          <t>2× seminggu</t>
        </is>
      </c>
      <c r="H13" s="684" t="inlineStr">
        <is>
          <t>Kalium &amp; nitrogen tinggi. Anti jamur alami dari kunyit</t>
        </is>
      </c>
      <c r="I13" s="171" t="n"/>
      <c r="J13" s="171" t="n"/>
      <c r="K13" s="171" t="n"/>
      <c r="L13" s="172" t="n"/>
    </row>
    <row r="14"/>
    <row r="15" ht="22" customHeight="1">
      <c r="A15" s="720" t="inlineStr">
        <is>
          <t>🦗 B. PESTISIDA NABATI ALAMI (BUAT SENDIRI — ZERO KIMIA)</t>
        </is>
      </c>
      <c r="B15" s="171" t="n"/>
      <c r="C15" s="171" t="n"/>
      <c r="D15" s="171" t="n"/>
      <c r="E15" s="171" t="n"/>
      <c r="F15" s="171" t="n"/>
      <c r="G15" s="171" t="n"/>
      <c r="H15" s="171" t="n"/>
      <c r="I15" s="171" t="n"/>
      <c r="J15" s="171" t="n"/>
      <c r="K15" s="171" t="n"/>
      <c r="L15" s="172" t="n"/>
    </row>
    <row r="16" ht="26" customHeight="1">
      <c r="A16" s="721" t="inlineStr">
        <is>
          <t>No</t>
        </is>
      </c>
      <c r="B16" s="722" t="inlineStr">
        <is>
          <t>Pestisida</t>
        </is>
      </c>
      <c r="C16" s="722" t="inlineStr">
        <is>
          <t>Target Hama</t>
        </is>
      </c>
      <c r="D16" s="722" t="inlineStr">
        <is>
          <t>Bahan</t>
        </is>
      </c>
      <c r="E16" s="722" t="inlineStr">
        <is>
          <t>Cara Buat</t>
        </is>
      </c>
      <c r="F16" s="722" t="inlineStr">
        <is>
          <t>Cara Pakai</t>
        </is>
      </c>
      <c r="G16" s="722" t="inlineStr">
        <is>
          <t>Efektivitas</t>
        </is>
      </c>
      <c r="H16" s="723" t="inlineStr">
        <is>
          <t>Catatan</t>
        </is>
      </c>
      <c r="I16" s="178" t="n"/>
      <c r="J16" s="178" t="n"/>
      <c r="K16" s="178" t="n"/>
      <c r="L16" s="179" t="n"/>
    </row>
    <row r="17" ht="28" customHeight="1">
      <c r="A17" s="229" t="n">
        <v>1</v>
      </c>
      <c r="B17" s="230" t="inlineStr">
        <is>
          <t>Larutan Serai + Kunyit</t>
        </is>
      </c>
      <c r="C17" s="160" t="inlineStr">
        <is>
          <t>Thrips, kutu daun, ulat muda</t>
        </is>
      </c>
      <c r="D17" s="160" t="inlineStr">
        <is>
          <t>100g batang serai + 50g kunyit + 1L air</t>
        </is>
      </c>
      <c r="E17" s="160" t="inlineStr">
        <is>
          <t>Blender + saring + encerkan 1:5</t>
        </is>
      </c>
      <c r="F17" s="160" t="inlineStr">
        <is>
          <t>Semprot pagi/sore, fokus bagian bawah daun</t>
        </is>
      </c>
      <c r="G17" s="126" t="inlineStr">
        <is>
          <t>★★★ Sangat efektif</t>
        </is>
      </c>
      <c r="H17" s="668" t="inlineStr">
        <is>
          <t>Bahan tersedia di kebun sendiri! Gratis</t>
        </is>
      </c>
      <c r="I17" s="171" t="n"/>
      <c r="J17" s="171" t="n"/>
      <c r="K17" s="171" t="n"/>
      <c r="L17" s="172" t="n"/>
    </row>
    <row r="18" ht="28" customHeight="1">
      <c r="A18" s="232" t="n">
        <v>2</v>
      </c>
      <c r="B18" s="233" t="inlineStr">
        <is>
          <t>Ekstrak Bawang Putih</t>
        </is>
      </c>
      <c r="C18" s="156" t="inlineStr">
        <is>
          <t>Jamur, bakteri, virus tanaman</t>
        </is>
      </c>
      <c r="D18" s="156" t="inlineStr">
        <is>
          <t>200g bawang putih + 1L air + sedikit sabun colek</t>
        </is>
      </c>
      <c r="E18" s="156" t="inlineStr">
        <is>
          <t>Blender + saring, encerkan 1:10</t>
        </is>
      </c>
      <c r="F18" s="156" t="inlineStr">
        <is>
          <t>Semprot seluruh tanaman tiap 5 hari</t>
        </is>
      </c>
      <c r="G18" s="126" t="inlineStr">
        <is>
          <t>★★★ Anti-fungal kuat</t>
        </is>
      </c>
      <c r="H18" s="684" t="inlineStr">
        <is>
          <t>Allicin dalam bawang putih sangat potent</t>
        </is>
      </c>
      <c r="I18" s="171" t="n"/>
      <c r="J18" s="171" t="n"/>
      <c r="K18" s="171" t="n"/>
      <c r="L18" s="172" t="n"/>
    </row>
    <row r="19" ht="28" customHeight="1">
      <c r="A19" s="229" t="n">
        <v>3</v>
      </c>
      <c r="B19" s="230" t="inlineStr">
        <is>
          <t>Larutan Cabai + Bawang</t>
        </is>
      </c>
      <c r="C19" s="160" t="inlineStr">
        <is>
          <t>Ulat, kupu-kupu, serangga besar</t>
        </is>
      </c>
      <c r="D19" s="160" t="inlineStr">
        <is>
          <t>100g cabai rawit + 5 siung bawang putih + air</t>
        </is>
      </c>
      <c r="E19" s="160" t="inlineStr">
        <is>
          <t>Blender + saring + encerkan 1:5</t>
        </is>
      </c>
      <c r="F19" s="160" t="inlineStr">
        <is>
          <t>Semprot sore hari, hindari bunga</t>
        </is>
      </c>
      <c r="G19" s="726" t="inlineStr">
        <is>
          <t>★★ Cukup efektif</t>
        </is>
      </c>
      <c r="H19" s="668" t="inlineStr">
        <is>
          <t>Capsaicin mengusir serangga. Aman manusia &amp; tanah</t>
        </is>
      </c>
      <c r="I19" s="171" t="n"/>
      <c r="J19" s="171" t="n"/>
      <c r="K19" s="171" t="n"/>
      <c r="L19" s="172" t="n"/>
    </row>
    <row r="20" ht="28" customHeight="1">
      <c r="A20" s="232" t="n">
        <v>4</v>
      </c>
      <c r="B20" s="233" t="inlineStr">
        <is>
          <t>Sabun Cuci Alami (Biosurfaktan)</t>
        </is>
      </c>
      <c r="C20" s="156" t="inlineStr">
        <is>
          <t>Kutu putih, kutu kebul, tungau</t>
        </is>
      </c>
      <c r="D20" s="156" t="inlineStr">
        <is>
          <t>2 sdm sabun cair alami + 1L air</t>
        </is>
      </c>
      <c r="E20" s="156" t="inlineStr">
        <is>
          <t>Campur langsung, kocok pelan</t>
        </is>
      </c>
      <c r="F20" s="156" t="inlineStr">
        <is>
          <t>Semprot langsung ke hama, jangan terik matahari</t>
        </is>
      </c>
      <c r="G20" s="726" t="inlineStr">
        <is>
          <t>★★ Efektif kontak</t>
        </is>
      </c>
      <c r="H20" s="684" t="inlineStr">
        <is>
          <t>Menyumbat pori pernapasan serangga</t>
        </is>
      </c>
      <c r="I20" s="171" t="n"/>
      <c r="J20" s="171" t="n"/>
      <c r="K20" s="171" t="n"/>
      <c r="L20" s="172" t="n"/>
    </row>
    <row r="21" ht="28" customHeight="1">
      <c r="A21" s="229" t="n">
        <v>5</v>
      </c>
      <c r="B21" s="230" t="inlineStr">
        <is>
          <t>Urin Fermentasi</t>
        </is>
      </c>
      <c r="C21" s="160" t="inlineStr">
        <is>
          <t>Hama tanah, nematoda</t>
        </is>
      </c>
      <c r="D21" s="160" t="inlineStr">
        <is>
          <t>Urin kambing/sapi fermentasi 1 minggu</t>
        </is>
      </c>
      <c r="E21" s="160" t="inlineStr">
        <is>
          <t>Encerkan 1:10 dengan air</t>
        </is>
      </c>
      <c r="F21" s="160" t="inlineStr">
        <is>
          <t>Siram ke tanah sekitar tanaman</t>
        </is>
      </c>
      <c r="G21" s="726" t="inlineStr">
        <is>
          <t>★★ Mengusir hama tanah</t>
        </is>
      </c>
      <c r="H21" s="668" t="inlineStr">
        <is>
          <t>Bau mengusir tikus &amp; hama tanah lainnya</t>
        </is>
      </c>
      <c r="I21" s="171" t="n"/>
      <c r="J21" s="171" t="n"/>
      <c r="K21" s="171" t="n"/>
      <c r="L21" s="172" t="n"/>
    </row>
    <row r="22" ht="28" customHeight="1">
      <c r="A22" s="232" t="n">
        <v>6</v>
      </c>
      <c r="B22" s="233" t="inlineStr">
        <is>
          <t>Trap Perangkap (Non-Kimia)</t>
        </is>
      </c>
      <c r="C22" s="156" t="inlineStr">
        <is>
          <t>Kupu, ngengat, lalat buah</t>
        </is>
      </c>
      <c r="D22" s="156" t="inlineStr">
        <is>
          <t>Botol plastik + air gula + cuka</t>
        </is>
      </c>
      <c r="E22" s="156" t="inlineStr">
        <is>
          <t>Gunting botol, isi larutan, gantung di tanaman</t>
        </is>
      </c>
      <c r="F22" s="156" t="inlineStr">
        <is>
          <t>Ganti setiap 3–5 hari</t>
        </is>
      </c>
      <c r="G22" s="126" t="inlineStr">
        <is>
          <t>★★★ Lalat buah &amp; ngengat</t>
        </is>
      </c>
      <c r="H22" s="684" t="inlineStr">
        <is>
          <t>Zero bahan kimia. Efektif untuk cabai &amp; tomat</t>
        </is>
      </c>
      <c r="I22" s="171" t="n"/>
      <c r="J22" s="171" t="n"/>
      <c r="K22" s="171" t="n"/>
      <c r="L22" s="172" t="n"/>
    </row>
    <row r="23"/>
    <row r="24" ht="22" customHeight="1">
      <c r="A24" s="720" t="inlineStr">
        <is>
          <t>📒 C. LOGBOOK KEBUN ORGANIK (Isi Tiap Kegiatan)</t>
        </is>
      </c>
      <c r="B24" s="171" t="n"/>
      <c r="C24" s="171" t="n"/>
      <c r="D24" s="171" t="n"/>
      <c r="E24" s="171" t="n"/>
      <c r="F24" s="171" t="n"/>
      <c r="G24" s="171" t="n"/>
      <c r="H24" s="171" t="n"/>
      <c r="I24" s="171" t="n"/>
      <c r="J24" s="171" t="n"/>
      <c r="K24" s="171" t="n"/>
      <c r="L24" s="172" t="n"/>
    </row>
    <row r="25" ht="26" customHeight="1">
      <c r="A25" s="721" t="inlineStr">
        <is>
          <t>Tanggal</t>
        </is>
      </c>
      <c r="B25" s="722" t="inlineStr">
        <is>
          <t>Lahan/Bedeng</t>
        </is>
      </c>
      <c r="C25" s="722" t="inlineStr">
        <is>
          <t>Komoditi</t>
        </is>
      </c>
      <c r="D25" s="722" t="inlineStr">
        <is>
          <t>Kegiatan</t>
        </is>
      </c>
      <c r="E25" s="722" t="inlineStr">
        <is>
          <t>Pupuk
Dipakai</t>
        </is>
      </c>
      <c r="F25" s="722" t="inlineStr">
        <is>
          <t>Pestisida
Dipakai</t>
        </is>
      </c>
      <c r="G25" s="722" t="inlineStr">
        <is>
          <t>Cuaca</t>
        </is>
      </c>
      <c r="H25" s="722" t="inlineStr">
        <is>
          <t>Catatan
Pengamatan</t>
        </is>
      </c>
      <c r="I25" s="723" t="inlineStr">
        <is>
          <t>Petugas</t>
        </is>
      </c>
      <c r="J25" s="178" t="n"/>
      <c r="K25" s="178" t="n"/>
      <c r="L25" s="179" t="n"/>
    </row>
    <row r="26" ht="20" customHeight="1">
      <c r="A26" s="622" t="n"/>
      <c r="B26" s="622" t="n"/>
      <c r="C26" s="622" t="n"/>
      <c r="D26" s="622" t="n"/>
      <c r="E26" s="622" t="n"/>
      <c r="F26" s="622" t="n"/>
      <c r="G26" s="622" t="n"/>
      <c r="H26" s="622" t="n"/>
      <c r="I26" s="622" t="n"/>
      <c r="J26" s="622" t="n"/>
      <c r="K26" s="622" t="n"/>
      <c r="L26" s="622" t="n"/>
    </row>
    <row r="27" ht="20" customHeight="1">
      <c r="A27" s="623" t="n"/>
      <c r="B27" s="623" t="n"/>
      <c r="C27" s="623" t="n"/>
      <c r="D27" s="623" t="n"/>
      <c r="E27" s="623" t="n"/>
      <c r="F27" s="623" t="n"/>
      <c r="G27" s="623" t="n"/>
      <c r="H27" s="623" t="n"/>
      <c r="I27" s="623" t="n"/>
      <c r="J27" s="623" t="n"/>
      <c r="K27" s="623" t="n"/>
      <c r="L27" s="623" t="n"/>
    </row>
    <row r="28" ht="20" customHeight="1">
      <c r="A28" s="622" t="n"/>
      <c r="B28" s="622" t="n"/>
      <c r="C28" s="622" t="n"/>
      <c r="D28" s="622" t="n"/>
      <c r="E28" s="622" t="n"/>
      <c r="F28" s="622" t="n"/>
      <c r="G28" s="622" t="n"/>
      <c r="H28" s="622" t="n"/>
      <c r="I28" s="622" t="n"/>
      <c r="J28" s="622" t="n"/>
      <c r="K28" s="622" t="n"/>
      <c r="L28" s="622" t="n"/>
    </row>
    <row r="29" ht="20" customHeight="1">
      <c r="A29" s="623" t="n"/>
      <c r="B29" s="623" t="n"/>
      <c r="C29" s="623" t="n"/>
      <c r="D29" s="623" t="n"/>
      <c r="E29" s="623" t="n"/>
      <c r="F29" s="623" t="n"/>
      <c r="G29" s="623" t="n"/>
      <c r="H29" s="623" t="n"/>
      <c r="I29" s="623" t="n"/>
      <c r="J29" s="623" t="n"/>
      <c r="K29" s="623" t="n"/>
      <c r="L29" s="623" t="n"/>
    </row>
    <row r="30" ht="20" customHeight="1">
      <c r="A30" s="622" t="n"/>
      <c r="B30" s="622" t="n"/>
      <c r="C30" s="622" t="n"/>
      <c r="D30" s="622" t="n"/>
      <c r="E30" s="622" t="n"/>
      <c r="F30" s="622" t="n"/>
      <c r="G30" s="622" t="n"/>
      <c r="H30" s="622" t="n"/>
      <c r="I30" s="622" t="n"/>
      <c r="J30" s="622" t="n"/>
      <c r="K30" s="622" t="n"/>
      <c r="L30" s="622" t="n"/>
    </row>
    <row r="31" ht="20" customHeight="1">
      <c r="A31" s="623" t="n"/>
      <c r="B31" s="623" t="n"/>
      <c r="C31" s="623" t="n"/>
      <c r="D31" s="623" t="n"/>
      <c r="E31" s="623" t="n"/>
      <c r="F31" s="623" t="n"/>
      <c r="G31" s="623" t="n"/>
      <c r="H31" s="623" t="n"/>
      <c r="I31" s="623" t="n"/>
      <c r="J31" s="623" t="n"/>
      <c r="K31" s="623" t="n"/>
      <c r="L31" s="623" t="n"/>
    </row>
    <row r="32" ht="20" customHeight="1">
      <c r="A32" s="622" t="n"/>
      <c r="B32" s="622" t="n"/>
      <c r="C32" s="622" t="n"/>
      <c r="D32" s="622" t="n"/>
      <c r="E32" s="622" t="n"/>
      <c r="F32" s="622" t="n"/>
      <c r="G32" s="622" t="n"/>
      <c r="H32" s="622" t="n"/>
      <c r="I32" s="622" t="n"/>
      <c r="J32" s="622" t="n"/>
      <c r="K32" s="622" t="n"/>
      <c r="L32" s="622" t="n"/>
    </row>
    <row r="33" ht="20" customHeight="1">
      <c r="A33" s="623" t="n"/>
      <c r="B33" s="623" t="n"/>
      <c r="C33" s="623" t="n"/>
      <c r="D33" s="623" t="n"/>
      <c r="E33" s="623" t="n"/>
      <c r="F33" s="623" t="n"/>
      <c r="G33" s="623" t="n"/>
      <c r="H33" s="623" t="n"/>
      <c r="I33" s="623" t="n"/>
      <c r="J33" s="623" t="n"/>
      <c r="K33" s="623" t="n"/>
      <c r="L33" s="623" t="n"/>
    </row>
    <row r="34" ht="20" customHeight="1">
      <c r="A34" s="622" t="n"/>
      <c r="B34" s="622" t="n"/>
      <c r="C34" s="622" t="n"/>
      <c r="D34" s="622" t="n"/>
      <c r="E34" s="622" t="n"/>
      <c r="F34" s="622" t="n"/>
      <c r="G34" s="622" t="n"/>
      <c r="H34" s="622" t="n"/>
      <c r="I34" s="622" t="n"/>
      <c r="J34" s="622" t="n"/>
      <c r="K34" s="622" t="n"/>
      <c r="L34" s="622" t="n"/>
    </row>
    <row r="35" ht="20" customHeight="1">
      <c r="A35" s="623" t="n"/>
      <c r="B35" s="623" t="n"/>
      <c r="C35" s="623" t="n"/>
      <c r="D35" s="623" t="n"/>
      <c r="E35" s="623" t="n"/>
      <c r="F35" s="623" t="n"/>
      <c r="G35" s="623" t="n"/>
      <c r="H35" s="623" t="n"/>
      <c r="I35" s="623" t="n"/>
      <c r="J35" s="623" t="n"/>
      <c r="K35" s="623" t="n"/>
      <c r="L35" s="623" t="n"/>
    </row>
    <row r="36" ht="20" customHeight="1">
      <c r="A36" s="622" t="n"/>
      <c r="B36" s="622" t="n"/>
      <c r="C36" s="622" t="n"/>
      <c r="D36" s="622" t="n"/>
      <c r="E36" s="622" t="n"/>
      <c r="F36" s="622" t="n"/>
      <c r="G36" s="622" t="n"/>
      <c r="H36" s="622" t="n"/>
      <c r="I36" s="622" t="n"/>
      <c r="J36" s="622" t="n"/>
      <c r="K36" s="622" t="n"/>
      <c r="L36" s="622" t="n"/>
    </row>
    <row r="37" ht="20" customHeight="1">
      <c r="A37" s="623" t="n"/>
      <c r="B37" s="623" t="n"/>
      <c r="C37" s="623" t="n"/>
      <c r="D37" s="623" t="n"/>
      <c r="E37" s="623" t="n"/>
      <c r="F37" s="623" t="n"/>
      <c r="G37" s="623" t="n"/>
      <c r="H37" s="623" t="n"/>
      <c r="I37" s="623" t="n"/>
      <c r="J37" s="623" t="n"/>
      <c r="K37" s="623" t="n"/>
      <c r="L37" s="623" t="n"/>
    </row>
    <row r="38" ht="20" customHeight="1">
      <c r="A38" s="622" t="n"/>
      <c r="B38" s="622" t="n"/>
      <c r="C38" s="622" t="n"/>
      <c r="D38" s="622" t="n"/>
      <c r="E38" s="622" t="n"/>
      <c r="F38" s="622" t="n"/>
      <c r="G38" s="622" t="n"/>
      <c r="H38" s="622" t="n"/>
      <c r="I38" s="622" t="n"/>
      <c r="J38" s="622" t="n"/>
      <c r="K38" s="622" t="n"/>
      <c r="L38" s="622" t="n"/>
    </row>
    <row r="39" ht="20" customHeight="1">
      <c r="A39" s="623" t="n"/>
      <c r="B39" s="623" t="n"/>
      <c r="C39" s="623" t="n"/>
      <c r="D39" s="623" t="n"/>
      <c r="E39" s="623" t="n"/>
      <c r="F39" s="623" t="n"/>
      <c r="G39" s="623" t="n"/>
      <c r="H39" s="623" t="n"/>
      <c r="I39" s="623" t="n"/>
      <c r="J39" s="623" t="n"/>
      <c r="K39" s="623" t="n"/>
      <c r="L39" s="623" t="n"/>
    </row>
    <row r="40" ht="20" customHeight="1">
      <c r="A40" s="622" t="n"/>
      <c r="B40" s="622" t="n"/>
      <c r="C40" s="622" t="n"/>
      <c r="D40" s="622" t="n"/>
      <c r="E40" s="622" t="n"/>
      <c r="F40" s="622" t="n"/>
      <c r="G40" s="622" t="n"/>
      <c r="H40" s="622" t="n"/>
      <c r="I40" s="622" t="n"/>
      <c r="J40" s="622" t="n"/>
      <c r="K40" s="622" t="n"/>
      <c r="L40" s="622" t="n"/>
    </row>
    <row r="41" ht="20" customHeight="1">
      <c r="A41" s="623" t="n"/>
      <c r="B41" s="623" t="n"/>
      <c r="C41" s="623" t="n"/>
      <c r="D41" s="623" t="n"/>
      <c r="E41" s="623" t="n"/>
      <c r="F41" s="623" t="n"/>
      <c r="G41" s="623" t="n"/>
      <c r="H41" s="623" t="n"/>
      <c r="I41" s="623" t="n"/>
      <c r="J41" s="623" t="n"/>
      <c r="K41" s="623" t="n"/>
      <c r="L41" s="623" t="n"/>
    </row>
    <row r="42" ht="20" customHeight="1">
      <c r="A42" s="622" t="n"/>
      <c r="B42" s="622" t="n"/>
      <c r="C42" s="622" t="n"/>
      <c r="D42" s="622" t="n"/>
      <c r="E42" s="622" t="n"/>
      <c r="F42" s="622" t="n"/>
      <c r="G42" s="622" t="n"/>
      <c r="H42" s="622" t="n"/>
      <c r="I42" s="622" t="n"/>
      <c r="J42" s="622" t="n"/>
      <c r="K42" s="622" t="n"/>
      <c r="L42" s="622" t="n"/>
    </row>
    <row r="43" ht="20" customHeight="1">
      <c r="A43" s="623" t="n"/>
      <c r="B43" s="623" t="n"/>
      <c r="C43" s="623" t="n"/>
      <c r="D43" s="623" t="n"/>
      <c r="E43" s="623" t="n"/>
      <c r="F43" s="623" t="n"/>
      <c r="G43" s="623" t="n"/>
      <c r="H43" s="623" t="n"/>
      <c r="I43" s="623" t="n"/>
      <c r="J43" s="623" t="n"/>
      <c r="K43" s="623" t="n"/>
      <c r="L43" s="623" t="n"/>
    </row>
    <row r="44" ht="20" customHeight="1">
      <c r="A44" s="622" t="n"/>
      <c r="B44" s="622" t="n"/>
      <c r="C44" s="622" t="n"/>
      <c r="D44" s="622" t="n"/>
      <c r="E44" s="622" t="n"/>
      <c r="F44" s="622" t="n"/>
      <c r="G44" s="622" t="n"/>
      <c r="H44" s="622" t="n"/>
      <c r="I44" s="622" t="n"/>
      <c r="J44" s="622" t="n"/>
      <c r="K44" s="622" t="n"/>
      <c r="L44" s="622" t="n"/>
    </row>
    <row r="45" ht="20" customHeight="1">
      <c r="A45" s="623" t="n"/>
      <c r="B45" s="623" t="n"/>
      <c r="C45" s="623" t="n"/>
      <c r="D45" s="623" t="n"/>
      <c r="E45" s="623" t="n"/>
      <c r="F45" s="623" t="n"/>
      <c r="G45" s="623" t="n"/>
      <c r="H45" s="623" t="n"/>
      <c r="I45" s="623" t="n"/>
      <c r="J45" s="623" t="n"/>
      <c r="K45" s="623" t="n"/>
      <c r="L45" s="623" t="n"/>
    </row>
  </sheetData>
  <mergeCells count="21">
    <mergeCell ref="H20:L20"/>
    <mergeCell ref="H10:L10"/>
    <mergeCell ref="H9:L9"/>
    <mergeCell ref="A2:L2"/>
    <mergeCell ref="H21:L21"/>
    <mergeCell ref="A4:L4"/>
    <mergeCell ref="H17:L17"/>
    <mergeCell ref="H11:L11"/>
    <mergeCell ref="H7:L7"/>
    <mergeCell ref="H16:L16"/>
    <mergeCell ref="I25:L25"/>
    <mergeCell ref="H19:L19"/>
    <mergeCell ref="H13:L13"/>
    <mergeCell ref="H22:L22"/>
    <mergeCell ref="A24:L24"/>
    <mergeCell ref="A15:L15"/>
    <mergeCell ref="H12:L12"/>
    <mergeCell ref="A1:L1"/>
    <mergeCell ref="H18:L18"/>
    <mergeCell ref="A6:L6"/>
    <mergeCell ref="H8:L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8" customWidth="1" min="10" max="10"/>
    <col width="8" customWidth="1" min="11" max="11"/>
    <col width="8" customWidth="1" min="12" max="12"/>
  </cols>
  <sheetData>
    <row r="1" ht="44" customHeight="1">
      <c r="A1" s="620" t="inlineStr">
        <is>
          <t>🌏 ROADMAP EKSPANSI DONASI &amp; INVESTOR INTERNASIONAL — NAWA CAHAYA</t>
        </is>
      </c>
    </row>
    <row r="2" ht="18" customHeight="1">
      <c r="A2" s="169" t="inlineStr">
        <is>
          <t>Grant Internasional · Impact Investor · CSR Global · Diaspora Network · UN SDGs Alignment</t>
        </is>
      </c>
    </row>
    <row r="3"/>
    <row r="4" ht="28" customHeight="1">
      <c r="A4" s="727" t="inlineStr">
        <is>
          <t xml:space="preserve">  🎯 MISI GLOBAL: Membuka akses donasi dan investasi internasional untuk mendukung Nawa Cahaya berkembang dari skala lokal ke model yang bisa direplikasi di Asia Tenggara. Semua program selaras dengan UN SDGs #1, #4, #8, #10, #17.</t>
        </is>
      </c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2" t="n"/>
    </row>
    <row r="5"/>
    <row r="6" ht="22" customHeight="1">
      <c r="A6" s="728" t="inlineStr">
        <is>
          <t>🎯 A. TARGET GRANT &amp; DONOR INTERNASIONAL</t>
        </is>
      </c>
      <c r="B6" s="171" t="n"/>
      <c r="C6" s="171" t="n"/>
      <c r="D6" s="171" t="n"/>
      <c r="E6" s="171" t="n"/>
      <c r="F6" s="171" t="n"/>
      <c r="G6" s="171" t="n"/>
      <c r="H6" s="171" t="n"/>
      <c r="I6" s="171" t="n"/>
      <c r="J6" s="171" t="n"/>
      <c r="K6" s="171" t="n"/>
      <c r="L6" s="172" t="n"/>
    </row>
    <row r="7" ht="26" customHeight="1">
      <c r="A7" s="729" t="inlineStr">
        <is>
          <t>No</t>
        </is>
      </c>
      <c r="B7" s="730" t="inlineStr">
        <is>
          <t>Nama Organisasi</t>
        </is>
      </c>
      <c r="C7" s="730" t="inlineStr">
        <is>
          <t>Negara</t>
        </is>
      </c>
      <c r="D7" s="730" t="inlineStr">
        <is>
          <t>Fokus Area</t>
        </is>
      </c>
      <c r="E7" s="730" t="inlineStr">
        <is>
          <t>Est. Grant</t>
        </is>
      </c>
      <c r="F7" s="730" t="inlineStr">
        <is>
          <t>Batas
Aplikasi</t>
        </is>
      </c>
      <c r="G7" s="730" t="inlineStr">
        <is>
          <t>Status</t>
        </is>
      </c>
      <c r="H7" s="730" t="inlineStr">
        <is>
          <t>Link / Kontak</t>
        </is>
      </c>
      <c r="I7" s="731" t="inlineStr">
        <is>
          <t>Catatan Strategi</t>
        </is>
      </c>
      <c r="J7" s="178" t="n"/>
      <c r="K7" s="178" t="n"/>
      <c r="L7" s="179" t="n"/>
    </row>
    <row r="8" ht="24" customHeight="1">
      <c r="A8" s="732" t="n">
        <v>1</v>
      </c>
      <c r="B8" s="733" t="inlineStr">
        <is>
          <t>USAID Youth Resilience Fund</t>
        </is>
      </c>
      <c r="C8" s="734" t="inlineStr">
        <is>
          <t>USA</t>
        </is>
      </c>
      <c r="D8" s="163" t="inlineStr">
        <is>
          <t>Education, Youth, Economic Empowerment</t>
        </is>
      </c>
      <c r="E8" s="735" t="inlineStr">
        <is>
          <t>USD 50.000–200.000</t>
        </is>
      </c>
      <c r="F8" s="734" t="inlineStr">
        <is>
          <t>Rolling (cek website)</t>
        </is>
      </c>
      <c r="G8" s="125" t="inlineStr">
        <is>
          <t>Target</t>
        </is>
      </c>
      <c r="H8" s="736" t="inlineStr">
        <is>
          <t>usaid.gov/work-usaid</t>
        </is>
      </c>
      <c r="I8" s="737" t="inlineStr">
        <is>
          <t>Butuh laporan dampak + data anak binaan yang terstruktur</t>
        </is>
      </c>
      <c r="J8" s="171" t="n"/>
      <c r="K8" s="171" t="n"/>
      <c r="L8" s="172" t="n"/>
    </row>
    <row r="9" ht="24" customHeight="1">
      <c r="A9" s="232" t="n">
        <v>2</v>
      </c>
      <c r="B9" s="738" t="inlineStr">
        <is>
          <t>UNICEF Innovation Fund</t>
        </is>
      </c>
      <c r="C9" s="552" t="inlineStr">
        <is>
          <t>Global</t>
        </is>
      </c>
      <c r="D9" s="156" t="inlineStr">
        <is>
          <t>Child welfare, technology, social innovation</t>
        </is>
      </c>
      <c r="E9" s="735" t="inlineStr">
        <is>
          <t>USD 50.000–100.000</t>
        </is>
      </c>
      <c r="F9" s="552" t="inlineStr">
        <is>
          <t>2× per tahun</t>
        </is>
      </c>
      <c r="G9" s="125" t="inlineStr">
        <is>
          <t>Target</t>
        </is>
      </c>
      <c r="H9" s="739" t="inlineStr">
        <is>
          <t>unicef.org/innovation</t>
        </is>
      </c>
      <c r="I9" s="684" t="inlineStr">
        <is>
          <t>Keunggulan: sistem digital transparan + dampak anak</t>
        </is>
      </c>
      <c r="J9" s="171" t="n"/>
      <c r="K9" s="171" t="n"/>
      <c r="L9" s="172" t="n"/>
    </row>
    <row r="10" ht="24" customHeight="1">
      <c r="A10" s="732" t="n">
        <v>3</v>
      </c>
      <c r="B10" s="733" t="inlineStr">
        <is>
          <t>Yayasan Tifa (Indonesia)</t>
        </is>
      </c>
      <c r="C10" s="734" t="inlineStr">
        <is>
          <t>Indonesia</t>
        </is>
      </c>
      <c r="D10" s="163" t="inlineStr">
        <is>
          <t>Demokrasi, pendidikan, pemberdayaan</t>
        </is>
      </c>
      <c r="E10" s="735" t="inlineStr">
        <is>
          <t>IDR 100–500 jt</t>
        </is>
      </c>
      <c r="F10" s="734" t="inlineStr">
        <is>
          <t>Rolling</t>
        </is>
      </c>
      <c r="G10" s="125" t="inlineStr">
        <is>
          <t>Target</t>
        </is>
      </c>
      <c r="H10" s="736" t="inlineStr">
        <is>
          <t>yayasantifa.or.id</t>
        </is>
      </c>
      <c r="I10" s="737" t="inlineStr">
        <is>
          <t>Lokal tapi level internasional. Sudah buka 2024</t>
        </is>
      </c>
      <c r="J10" s="171" t="n"/>
      <c r="K10" s="171" t="n"/>
      <c r="L10" s="172" t="n"/>
    </row>
    <row r="11" ht="24" customHeight="1">
      <c r="A11" s="232" t="n">
        <v>4</v>
      </c>
      <c r="B11" s="738" t="inlineStr">
        <is>
          <t>JICA (Japan Int'l Cooperation)</t>
        </is>
      </c>
      <c r="C11" s="552" t="inlineStr">
        <is>
          <t>Jepang</t>
        </is>
      </c>
      <c r="D11" s="156" t="inlineStr">
        <is>
          <t>Pemberdayaan anak, pertanian, komunitas</t>
        </is>
      </c>
      <c r="E11" s="735" t="inlineStr">
        <is>
          <t>Proyek bersama</t>
        </is>
      </c>
      <c r="F11" s="552" t="inlineStr">
        <is>
          <t>Per batch</t>
        </is>
      </c>
      <c r="G11" s="272" t="inlineStr">
        <is>
          <t>Research</t>
        </is>
      </c>
      <c r="H11" s="739" t="inlineStr">
        <is>
          <t>jica.go.jp</t>
        </is>
      </c>
      <c r="I11" s="684" t="inlineStr">
        <is>
          <t>Bisa entry via program exchange atau technical coop</t>
        </is>
      </c>
      <c r="J11" s="171" t="n"/>
      <c r="K11" s="171" t="n"/>
      <c r="L11" s="172" t="n"/>
    </row>
    <row r="12" ht="24" customHeight="1">
      <c r="A12" s="732" t="n">
        <v>5</v>
      </c>
      <c r="B12" s="733" t="inlineStr">
        <is>
          <t>Google.org Impact Challenge</t>
        </is>
      </c>
      <c r="C12" s="734" t="inlineStr">
        <is>
          <t>Global</t>
        </is>
      </c>
      <c r="D12" s="163" t="inlineStr">
        <is>
          <t>Tech for social good</t>
        </is>
      </c>
      <c r="E12" s="735" t="inlineStr">
        <is>
          <t>USD 100.000–5.000.000</t>
        </is>
      </c>
      <c r="F12" s="734" t="inlineStr">
        <is>
          <t>Annual</t>
        </is>
      </c>
      <c r="G12" s="125" t="inlineStr">
        <is>
          <t>Target</t>
        </is>
      </c>
      <c r="H12" s="736" t="inlineStr">
        <is>
          <t>google.org</t>
        </is>
      </c>
      <c r="I12" s="737" t="inlineStr">
        <is>
          <t>Platform digital transparansi = nilai jual ke Google.org</t>
        </is>
      </c>
      <c r="J12" s="171" t="n"/>
      <c r="K12" s="171" t="n"/>
      <c r="L12" s="172" t="n"/>
    </row>
    <row r="13" ht="24" customHeight="1">
      <c r="A13" s="232" t="n">
        <v>6</v>
      </c>
      <c r="B13" s="738" t="inlineStr">
        <is>
          <t>Asia Foundation</t>
        </is>
      </c>
      <c r="C13" s="552" t="inlineStr">
        <is>
          <t>USA/Asia</t>
        </is>
      </c>
      <c r="D13" s="156" t="inlineStr">
        <is>
          <t>Governance, education, women &amp; youth</t>
        </is>
      </c>
      <c r="E13" s="735" t="inlineStr">
        <is>
          <t>USD 25.000–150.000</t>
        </is>
      </c>
      <c r="F13" s="552" t="inlineStr">
        <is>
          <t>Per program</t>
        </is>
      </c>
      <c r="G13" s="125" t="inlineStr">
        <is>
          <t>Target</t>
        </is>
      </c>
      <c r="H13" s="739" t="inlineStr">
        <is>
          <t>asiafoundation.org</t>
        </is>
      </c>
      <c r="I13" s="684" t="inlineStr">
        <is>
          <t>Butuh local partner yang sudah legal</t>
        </is>
      </c>
      <c r="J13" s="171" t="n"/>
      <c r="K13" s="171" t="n"/>
      <c r="L13" s="172" t="n"/>
    </row>
    <row r="14" ht="24" customHeight="1">
      <c r="A14" s="732" t="n">
        <v>7</v>
      </c>
      <c r="B14" s="733" t="inlineStr">
        <is>
          <t>SDGs Fund (UN Partnership)</t>
        </is>
      </c>
      <c r="C14" s="734" t="inlineStr">
        <is>
          <t>Global</t>
        </is>
      </c>
      <c r="D14" s="163" t="inlineStr">
        <is>
          <t>SDGs 1,4,8,10,17</t>
        </is>
      </c>
      <c r="E14" s="735" t="inlineStr">
        <is>
          <t>USD 50.000+</t>
        </is>
      </c>
      <c r="F14" s="734" t="inlineStr">
        <is>
          <t>Annual</t>
        </is>
      </c>
      <c r="G14" s="272" t="inlineStr">
        <is>
          <t>Research</t>
        </is>
      </c>
      <c r="H14" s="736" t="inlineStr">
        <is>
          <t>sdgfund.org</t>
        </is>
      </c>
      <c r="I14" s="737" t="inlineStr">
        <is>
          <t>Alignment dengan SDGs sangat kuat</t>
        </is>
      </c>
      <c r="J14" s="171" t="n"/>
      <c r="K14" s="171" t="n"/>
      <c r="L14" s="172" t="n"/>
    </row>
    <row r="15" ht="24" customHeight="1">
      <c r="A15" s="232" t="n">
        <v>8</v>
      </c>
      <c r="B15" s="738" t="inlineStr">
        <is>
          <t>Impact Investor — B Corp Certified</t>
        </is>
      </c>
      <c r="C15" s="552" t="inlineStr">
        <is>
          <t>Global</t>
        </is>
      </c>
      <c r="D15" s="156" t="inlineStr">
        <is>
          <t>Social enterprise, ROI + impact</t>
        </is>
      </c>
      <c r="E15" s="735" t="inlineStr">
        <is>
          <t>Equity/debt</t>
        </is>
      </c>
      <c r="F15" s="552" t="inlineStr">
        <is>
          <t>Negotiable</t>
        </is>
      </c>
      <c r="G15" s="132" t="inlineStr">
        <is>
          <t>Fase 2</t>
        </is>
      </c>
      <c r="H15" s="739" t="inlineStr">
        <is>
          <t>bcorporation.net</t>
        </is>
      </c>
      <c r="I15" s="684" t="inlineStr">
        <is>
          <t>Setelah ada track record 2 tahun &amp; laporan keuangan</t>
        </is>
      </c>
      <c r="J15" s="171" t="n"/>
      <c r="K15" s="171" t="n"/>
      <c r="L15" s="172" t="n"/>
    </row>
    <row r="16" ht="24" customHeight="1">
      <c r="A16" s="732" t="n">
        <v>9</v>
      </c>
      <c r="B16" s="733" t="inlineStr">
        <is>
          <t>Diaspora Indonesia (USA/Australia)</t>
        </is>
      </c>
      <c r="C16" s="734" t="inlineStr">
        <is>
          <t>Indonesia/Global</t>
        </is>
      </c>
      <c r="D16" s="163" t="inlineStr">
        <is>
          <t>Pemberdayaan anak Indonesia</t>
        </is>
      </c>
      <c r="E16" s="735" t="inlineStr">
        <is>
          <t>Varied</t>
        </is>
      </c>
      <c r="F16" s="734" t="inlineStr">
        <is>
          <t>Always open</t>
        </is>
      </c>
      <c r="G16" s="126" t="inlineStr">
        <is>
          <t>Active</t>
        </is>
      </c>
      <c r="H16" s="736" t="inlineStr">
        <is>
          <t>Komunitas Indonesian Diaspora Network</t>
        </is>
      </c>
      <c r="I16" s="737" t="inlineStr">
        <is>
          <t>Pendekatan via media sosial + storytelling konten</t>
        </is>
      </c>
      <c r="J16" s="171" t="n"/>
      <c r="K16" s="171" t="n"/>
      <c r="L16" s="172" t="n"/>
    </row>
    <row r="17" ht="24" customHeight="1">
      <c r="A17" s="232" t="n">
        <v>10</v>
      </c>
      <c r="B17" s="738" t="inlineStr">
        <is>
          <t>Islamic Relief Worldwide</t>
        </is>
      </c>
      <c r="C17" s="552" t="inlineStr">
        <is>
          <t>UK/Global</t>
        </is>
      </c>
      <c r="D17" s="156" t="inlineStr">
        <is>
          <t>Children, education, livelihood</t>
        </is>
      </c>
      <c r="E17" s="735" t="inlineStr">
        <is>
          <t>USD 20.000–100.000</t>
        </is>
      </c>
      <c r="F17" s="552" t="inlineStr">
        <is>
          <t>Per region</t>
        </is>
      </c>
      <c r="G17" s="272" t="inlineStr">
        <is>
          <t>Research</t>
        </is>
      </c>
      <c r="H17" s="739" t="inlineStr">
        <is>
          <t>islamic-relief.org</t>
        </is>
      </c>
      <c r="I17" s="684" t="inlineStr">
        <is>
          <t>Program anak kurang mampu — sesuai dengan fokus NC</t>
        </is>
      </c>
      <c r="J17" s="171" t="n"/>
      <c r="K17" s="171" t="n"/>
      <c r="L17" s="172" t="n"/>
    </row>
    <row r="18"/>
    <row r="19" ht="22" customHeight="1">
      <c r="A19" s="728" t="inlineStr">
        <is>
          <t>🌐 B. ALIGNMENT DENGAN UN SDGs (Kekuatan untuk Proposal Internasional)</t>
        </is>
      </c>
      <c r="B19" s="171" t="n"/>
      <c r="C19" s="171" t="n"/>
      <c r="D19" s="171" t="n"/>
      <c r="E19" s="171" t="n"/>
      <c r="F19" s="171" t="n"/>
      <c r="G19" s="171" t="n"/>
      <c r="H19" s="171" t="n"/>
      <c r="I19" s="171" t="n"/>
      <c r="J19" s="171" t="n"/>
      <c r="K19" s="171" t="n"/>
      <c r="L19" s="172" t="n"/>
    </row>
    <row r="20" ht="26" customHeight="1">
      <c r="A20" s="729" t="inlineStr">
        <is>
          <t>SDG</t>
        </is>
      </c>
      <c r="B20" s="730" t="inlineStr">
        <is>
          <t>Relevansi dengan Program Nawa Cahaya</t>
        </is>
      </c>
      <c r="C20" s="731" t="inlineStr">
        <is>
          <t>Prioritas</t>
        </is>
      </c>
      <c r="D20" s="178" t="n"/>
      <c r="E20" s="178" t="n"/>
      <c r="F20" s="178" t="n"/>
      <c r="G20" s="178" t="n"/>
      <c r="H20" s="178" t="n"/>
      <c r="I20" s="178" t="n"/>
      <c r="J20" s="178" t="n"/>
      <c r="K20" s="178" t="n"/>
      <c r="L20" s="179" t="n"/>
    </row>
    <row r="21" ht="22" customHeight="1">
      <c r="A21" s="740" t="inlineStr">
        <is>
          <t>SDG #1 — No Poverty</t>
        </is>
      </c>
      <c r="B21" s="741" t="inlineStr">
        <is>
          <t>Anak binaan dari keluarga tidak mampu. Program mengurangi lingkaran kemiskinan.</t>
        </is>
      </c>
      <c r="C21" s="171" t="n"/>
      <c r="D21" s="171" t="n"/>
      <c r="E21" s="171" t="n"/>
      <c r="F21" s="171" t="n"/>
      <c r="G21" s="171" t="n"/>
      <c r="H21" s="171" t="n"/>
      <c r="I21" s="171" t="n"/>
      <c r="J21" s="171" t="n"/>
      <c r="K21" s="171" t="n"/>
      <c r="L21" s="742" t="inlineStr">
        <is>
          <t>★★★</t>
        </is>
      </c>
    </row>
    <row r="22" ht="22" customHeight="1">
      <c r="A22" s="743" t="inlineStr">
        <is>
          <t>SDG #4 — Quality Education</t>
        </is>
      </c>
      <c r="B22" s="744" t="inlineStr">
        <is>
          <t>Paket C setara SMA, skill digital &amp; pertanian, akses pendidikan merata.</t>
        </is>
      </c>
      <c r="C22" s="171" t="n"/>
      <c r="D22" s="171" t="n"/>
      <c r="E22" s="171" t="n"/>
      <c r="F22" s="171" t="n"/>
      <c r="G22" s="171" t="n"/>
      <c r="H22" s="171" t="n"/>
      <c r="I22" s="171" t="n"/>
      <c r="J22" s="171" t="n"/>
      <c r="K22" s="171" t="n"/>
      <c r="L22" s="742" t="inlineStr">
        <is>
          <t>★★★</t>
        </is>
      </c>
    </row>
    <row r="23" ht="22" customHeight="1">
      <c r="A23" s="740" t="inlineStr">
        <is>
          <t>SDG #8 — Decent Work &amp; Economic Growth</t>
        </is>
      </c>
      <c r="B23" s="741" t="inlineStr">
        <is>
          <t>Junior CEO program, UMKM binaan, sistem bagi hasil pertanian.</t>
        </is>
      </c>
      <c r="C23" s="171" t="n"/>
      <c r="D23" s="171" t="n"/>
      <c r="E23" s="171" t="n"/>
      <c r="F23" s="171" t="n"/>
      <c r="G23" s="171" t="n"/>
      <c r="H23" s="171" t="n"/>
      <c r="I23" s="171" t="n"/>
      <c r="J23" s="171" t="n"/>
      <c r="K23" s="171" t="n"/>
      <c r="L23" s="742" t="inlineStr">
        <is>
          <t>★★★</t>
        </is>
      </c>
    </row>
    <row r="24" ht="22" customHeight="1">
      <c r="A24" s="743" t="inlineStr">
        <is>
          <t>SDG #10 — Reduced Inequalities</t>
        </is>
      </c>
      <c r="B24" s="744" t="inlineStr">
        <is>
          <t>Target anak dari keluarga terlantar/broken home. Pemerataan akses.</t>
        </is>
      </c>
      <c r="C24" s="171" t="n"/>
      <c r="D24" s="171" t="n"/>
      <c r="E24" s="171" t="n"/>
      <c r="F24" s="171" t="n"/>
      <c r="G24" s="171" t="n"/>
      <c r="H24" s="171" t="n"/>
      <c r="I24" s="171" t="n"/>
      <c r="J24" s="171" t="n"/>
      <c r="K24" s="171" t="n"/>
      <c r="L24" s="742" t="inlineStr">
        <is>
          <t>★★★</t>
        </is>
      </c>
    </row>
    <row r="25" ht="22" customHeight="1">
      <c r="A25" s="740" t="inlineStr">
        <is>
          <t>SDG #12 — Responsible Consumption</t>
        </is>
      </c>
      <c r="B25" s="741" t="inlineStr">
        <is>
          <t>Pertanian 100% organik, zero pestisida, sistem circular economy.</t>
        </is>
      </c>
      <c r="C25" s="171" t="n"/>
      <c r="D25" s="171" t="n"/>
      <c r="E25" s="171" t="n"/>
      <c r="F25" s="171" t="n"/>
      <c r="G25" s="171" t="n"/>
      <c r="H25" s="171" t="n"/>
      <c r="I25" s="171" t="n"/>
      <c r="J25" s="171" t="n"/>
      <c r="K25" s="171" t="n"/>
      <c r="L25" s="745" t="inlineStr">
        <is>
          <t>★★</t>
        </is>
      </c>
    </row>
    <row r="26" ht="22" customHeight="1">
      <c r="A26" s="743" t="inlineStr">
        <is>
          <t>SDG #13 — Climate Action</t>
        </is>
      </c>
      <c r="B26" s="744" t="inlineStr">
        <is>
          <t>Pertanian natural, biogas, solar panel, zero chemical farming.</t>
        </is>
      </c>
      <c r="C26" s="171" t="n"/>
      <c r="D26" s="171" t="n"/>
      <c r="E26" s="171" t="n"/>
      <c r="F26" s="171" t="n"/>
      <c r="G26" s="171" t="n"/>
      <c r="H26" s="171" t="n"/>
      <c r="I26" s="171" t="n"/>
      <c r="J26" s="171" t="n"/>
      <c r="K26" s="171" t="n"/>
      <c r="L26" s="745" t="inlineStr">
        <is>
          <t>★★</t>
        </is>
      </c>
    </row>
    <row r="27" ht="22" customHeight="1">
      <c r="A27" s="740" t="inlineStr">
        <is>
          <t>SDG #17 — Partnerships for Goals</t>
        </is>
      </c>
      <c r="B27" s="741" t="inlineStr">
        <is>
          <t>CSR network, diaspora, international grants, tech platform.</t>
        </is>
      </c>
      <c r="C27" s="171" t="n"/>
      <c r="D27" s="171" t="n"/>
      <c r="E27" s="171" t="n"/>
      <c r="F27" s="171" t="n"/>
      <c r="G27" s="171" t="n"/>
      <c r="H27" s="171" t="n"/>
      <c r="I27" s="171" t="n"/>
      <c r="J27" s="171" t="n"/>
      <c r="K27" s="171" t="n"/>
      <c r="L27" s="745" t="inlineStr">
        <is>
          <t>★★</t>
        </is>
      </c>
    </row>
  </sheetData>
  <mergeCells count="24">
    <mergeCell ref="I14:L14"/>
    <mergeCell ref="I17:L17"/>
    <mergeCell ref="I8:L8"/>
    <mergeCell ref="B24:K24"/>
    <mergeCell ref="I10:L10"/>
    <mergeCell ref="I13:L13"/>
    <mergeCell ref="A2:L2"/>
    <mergeCell ref="I9:L9"/>
    <mergeCell ref="B26:K26"/>
    <mergeCell ref="B25:K25"/>
    <mergeCell ref="I15:L15"/>
    <mergeCell ref="I11:L11"/>
    <mergeCell ref="A4:L4"/>
    <mergeCell ref="B22:K22"/>
    <mergeCell ref="A19:L19"/>
    <mergeCell ref="B27:K27"/>
    <mergeCell ref="B21:K21"/>
    <mergeCell ref="I16:L16"/>
    <mergeCell ref="C20:L20"/>
    <mergeCell ref="I7:L7"/>
    <mergeCell ref="B23:K23"/>
    <mergeCell ref="A1:L1"/>
    <mergeCell ref="I12:L12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2026-03-18T08:19:37Z</dcterms:created>
  <dcterms:modified xmlns:dcterms="http://purl.org/dc/terms/" xmlns:xsi="http://www.w3.org/2001/XMLSchema-instance" xsi:type="dcterms:W3CDTF">2026-03-18T08:19:45Z</dcterms:modified>
</cp:coreProperties>
</file>