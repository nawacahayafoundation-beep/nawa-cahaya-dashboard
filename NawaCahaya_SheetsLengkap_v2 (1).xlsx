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👦 PROGRAM &amp; PERKEMBANGAN" sheetId="1" state="visible" r:id="rId1"/>
    <sheet xmlns:r="http://schemas.openxmlformats.org/officeDocument/2006/relationships" name="🤝 RELAWAN &amp; MENTOR" sheetId="2" state="visible" r:id="rId2"/>
    <sheet xmlns:r="http://schemas.openxmlformats.org/officeDocument/2006/relationships" name="⚡ LISTRIK AIR ENERGI" sheetId="3" state="visible" r:id="rId3"/>
    <sheet xmlns:r="http://schemas.openxmlformats.org/officeDocument/2006/relationships" name="🧠 PROGRAM PSIKOLOGI" sheetId="4" state="visible" r:id="rId4"/>
    <sheet xmlns:r="http://schemas.openxmlformats.org/officeDocument/2006/relationships" name="🌱 PERTANIAN ORGANIK SOP" sheetId="5" state="visible" r:id="rId5"/>
    <sheet xmlns:r="http://schemas.openxmlformats.org/officeDocument/2006/relationships" name="🌏 EKSPANSI INTERNAS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p #,##0"/>
    <numFmt numFmtId="166" formatCode="DD/MM/YYYY"/>
  </numFmts>
  <fonts count="32">
    <font>
      <name val="Calibri"/>
      <family val="2"/>
      <color theme="1"/>
      <sz val="11"/>
      <scheme val="minor"/>
    </font>
    <font>
      <name val="Arial"/>
      <b val="1"/>
      <color rgb="00F9C74F"/>
      <sz val="13"/>
    </font>
    <font>
      <name val="Arial"/>
      <i val="1"/>
      <color rgb="00B7E4C7"/>
      <sz val="9"/>
    </font>
    <font>
      <name val="Arial"/>
      <b val="1"/>
      <color rgb="00F9C74F"/>
      <sz val="11"/>
    </font>
    <font>
      <name val="Arial"/>
      <b val="1"/>
      <color rgb="00F9C74F"/>
      <sz val="9"/>
    </font>
    <font>
      <name val="Arial"/>
      <b val="1"/>
      <color rgb="001C2833"/>
      <sz val="9"/>
    </font>
    <font>
      <name val="Arial"/>
      <i val="1"/>
      <color rgb="001A5276"/>
      <sz val="9"/>
    </font>
    <font>
      <name val="Arial"/>
      <color rgb="001C2833"/>
      <sz val="9"/>
    </font>
    <font>
      <name val="Arial"/>
      <color rgb="001C2833"/>
      <sz val="10"/>
    </font>
    <font>
      <name val="Arial"/>
      <b val="1"/>
      <color rgb="001A5E20"/>
      <sz val="9"/>
    </font>
    <font>
      <name val="Arial"/>
      <sz val="9"/>
    </font>
    <font>
      <name val="Arial"/>
      <b val="1"/>
      <color rgb="001A5276"/>
      <sz val="9"/>
    </font>
    <font>
      <name val="Arial"/>
      <b val="1"/>
      <color rgb="00784212"/>
      <sz val="10"/>
    </font>
    <font>
      <name val="Arial"/>
      <b val="1"/>
      <color rgb="00FFFFFF"/>
      <sz val="9"/>
    </font>
    <font>
      <name val="Arial"/>
      <i val="1"/>
      <color rgb="001C2833"/>
      <sz val="9"/>
    </font>
    <font>
      <name val="Arial"/>
      <b val="1"/>
      <color rgb="001A5276"/>
      <sz val="10"/>
    </font>
    <font>
      <name val="Arial"/>
      <b val="1"/>
      <color rgb="004A235A"/>
      <sz val="10"/>
    </font>
    <font>
      <name val="Arial"/>
      <i val="1"/>
      <color rgb="00784212"/>
      <sz val="9"/>
    </font>
    <font>
      <name val="Arial"/>
      <b val="1"/>
      <color rgb="0017202A"/>
      <sz val="9"/>
    </font>
    <font>
      <name val="Arial"/>
      <b val="1"/>
      <color rgb="00784212"/>
      <sz val="9"/>
    </font>
    <font>
      <name val="Arial"/>
      <i val="1"/>
      <color rgb="001C2833"/>
      <sz val="8"/>
    </font>
    <font>
      <name val="Arial"/>
      <color rgb="001C2833"/>
      <sz val="8"/>
    </font>
    <font>
      <name val="Arial"/>
      <b val="1"/>
      <color rgb="001B4332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B7E4C7"/>
      <sz val="9"/>
    </font>
    <font>
      <name val="Arial"/>
      <color rgb="00D1F2EB"/>
      <sz val="9"/>
    </font>
    <font>
      <name val="Arial"/>
      <b val="1"/>
      <color rgb="007B241C"/>
      <sz val="9"/>
    </font>
    <font>
      <name val="Arial"/>
      <color rgb="004A235A"/>
      <sz val="9"/>
    </font>
    <font>
      <name val="Arial"/>
      <b val="1"/>
      <color rgb="004A235A"/>
      <sz val="9"/>
    </font>
    <font>
      <name val="Arial"/>
      <b val="1"/>
      <color rgb="001A5E20"/>
      <sz val="10"/>
    </font>
    <font>
      <name val="Arial"/>
      <i val="1"/>
      <color rgb="001A5276"/>
      <sz val="8"/>
    </font>
  </fonts>
  <fills count="22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17202A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D6EAF8"/>
      </patternFill>
    </fill>
    <fill>
      <patternFill patternType="solid">
        <fgColor rgb="00F0FFF4"/>
      </patternFill>
    </fill>
    <fill>
      <patternFill patternType="solid">
        <fgColor rgb="00E8DAEF"/>
      </patternFill>
    </fill>
    <fill>
      <patternFill patternType="solid">
        <fgColor rgb="00FEF3C7"/>
      </patternFill>
    </fill>
    <fill>
      <patternFill patternType="solid">
        <fgColor rgb="00EBF5FB"/>
      </patternFill>
    </fill>
    <fill>
      <patternFill patternType="solid">
        <fgColor rgb="00F3E5F5"/>
      </patternFill>
    </fill>
    <fill>
      <patternFill patternType="solid">
        <fgColor rgb="001A5276"/>
      </patternFill>
    </fill>
    <fill>
      <patternFill patternType="solid">
        <fgColor rgb="00FADBD8"/>
      </patternFill>
    </fill>
    <fill>
      <patternFill patternType="solid">
        <fgColor rgb="00F0F8FF"/>
      </patternFill>
    </fill>
    <fill>
      <patternFill patternType="solid">
        <fgColor rgb="000E6655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1A5E20"/>
      </patternFill>
    </fill>
    <fill>
      <patternFill patternType="solid">
        <fgColor rgb="00F9F9F9"/>
      </patternFill>
    </fill>
  </fills>
  <borders count="21">
    <border>
      <left/>
      <right/>
      <top/>
      <bottom/>
      <diagonal/>
    </border>
    <border>
      <left style="thin">
        <color rgb="00BBBBBB"/>
      </left>
      <top style="thin">
        <color rgb="00BBBBBB"/>
      </top>
      <bottom style="thin">
        <color rgb="00BBBBBB"/>
      </bottom>
    </border>
    <border>
      <top style="thin">
        <color rgb="00BBBBBB"/>
      </top>
      <bottom style="thin">
        <color rgb="00BBBBBB"/>
      </bottom>
    </border>
    <border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666666"/>
      </left>
      <top style="thin">
        <color rgb="00666666"/>
      </top>
      <bottom style="thin">
        <color rgb="00666666"/>
      </bottom>
    </border>
    <border>
      <top style="thin">
        <color rgb="00666666"/>
      </top>
      <bottom style="thin">
        <color rgb="00666666"/>
      </bottom>
    </border>
    <border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4A017"/>
      </left>
      <top style="thin">
        <color rgb="00D4A017"/>
      </top>
      <bottom style="thin">
        <color rgb="00D4A017"/>
      </bottom>
    </border>
    <border>
      <top style="thin">
        <color rgb="00D4A017"/>
      </top>
      <bottom style="thin">
        <color rgb="00D4A017"/>
      </bottom>
    </border>
    <border>
      <right style="thin">
        <color rgb="00D4A017"/>
      </right>
      <top style="thin">
        <color rgb="00D4A017"/>
      </top>
      <bottom style="thin">
        <color rgb="00D4A017"/>
      </bottom>
    </border>
    <border>
      <left style="thin">
        <color rgb="00DDDDDD"/>
      </left>
      <top style="thin">
        <color rgb="00DDDDDD"/>
      </top>
      <bottom style="thin">
        <color rgb="00DDDDDD"/>
      </bottom>
    </border>
    <border>
      <top style="thin">
        <color rgb="00DDDDDD"/>
      </top>
      <bottom style="thin">
        <color rgb="00DDDDDD"/>
      </bottom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444444"/>
      </left>
      <top style="thin">
        <color rgb="00444444"/>
      </top>
      <bottom style="thin">
        <color rgb="00444444"/>
      </bottom>
    </border>
    <border>
      <top style="thin">
        <color rgb="00444444"/>
      </top>
      <bottom style="thin">
        <color rgb="00444444"/>
      </bottom>
    </border>
    <border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/>
    </xf>
    <xf numFmtId="0" fontId="0" fillId="6" borderId="7" pivotButton="0" quotePrefix="0" xfId="0"/>
    <xf numFmtId="0" fontId="0" fillId="7" borderId="7" pivotButton="0" quotePrefix="0" xfId="0"/>
    <xf numFmtId="0" fontId="6" fillId="8" borderId="1" applyAlignment="1" pivotButton="0" quotePrefix="0" xfId="0">
      <alignment horizontal="left" vertical="center"/>
    </xf>
    <xf numFmtId="0" fontId="7" fillId="5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left" vertical="center"/>
    </xf>
    <xf numFmtId="164" fontId="0" fillId="9" borderId="7" applyAlignment="1" pivotButton="0" quotePrefix="0" xfId="0">
      <alignment horizontal="center" vertical="center"/>
    </xf>
    <xf numFmtId="164" fontId="9" fillId="7" borderId="7" applyAlignment="1" pivotButton="0" quotePrefix="0" xfId="0">
      <alignment horizontal="center" vertical="center"/>
    </xf>
    <xf numFmtId="0" fontId="10" fillId="5" borderId="7" pivotButton="0" quotePrefix="0" xfId="0"/>
    <xf numFmtId="0" fontId="8" fillId="7" borderId="7" applyAlignment="1" pivotButton="0" quotePrefix="0" xfId="0">
      <alignment horizontal="left" vertical="center"/>
    </xf>
    <xf numFmtId="0" fontId="0" fillId="6" borderId="7" applyAlignment="1" pivotButton="0" quotePrefix="0" xfId="0">
      <alignment horizontal="center" vertical="center"/>
    </xf>
    <xf numFmtId="0" fontId="8" fillId="10" borderId="7" applyAlignment="1" pivotButton="0" quotePrefix="0" xfId="0">
      <alignment horizontal="left" vertical="center"/>
    </xf>
    <xf numFmtId="0" fontId="0" fillId="10" borderId="7" applyAlignment="1" pivotButton="0" quotePrefix="0" xfId="0">
      <alignment horizontal="center" vertical="center"/>
    </xf>
    <xf numFmtId="165" fontId="11" fillId="8" borderId="7" pivotButton="0" quotePrefix="0" xfId="0"/>
    <xf numFmtId="0" fontId="12" fillId="5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13" fillId="3" borderId="4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6" borderId="1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6" borderId="11" applyAlignment="1" pivotButton="0" quotePrefix="0" xfId="0">
      <alignment horizontal="left" vertical="center"/>
    </xf>
    <xf numFmtId="0" fontId="0" fillId="0" borderId="12" pivotButton="0" quotePrefix="0" xfId="0"/>
    <xf numFmtId="0" fontId="7" fillId="6" borderId="12" applyAlignment="1" pivotButton="0" quotePrefix="0" xfId="0">
      <alignment horizontal="left" vertical="center"/>
    </xf>
    <xf numFmtId="0" fontId="0" fillId="0" borderId="13" pivotButton="0" quotePrefix="0" xfId="0"/>
    <xf numFmtId="0" fontId="5" fillId="5" borderId="11" applyAlignment="1" pivotButton="0" quotePrefix="0" xfId="0">
      <alignment horizontal="left" vertical="center"/>
    </xf>
    <xf numFmtId="0" fontId="7" fillId="5" borderId="12" applyAlignment="1" pivotButton="0" quotePrefix="0" xfId="0">
      <alignment horizontal="left" vertical="center"/>
    </xf>
    <xf numFmtId="0" fontId="13" fillId="14" borderId="18" applyAlignment="1" pivotButton="0" quotePrefix="0" xfId="0">
      <alignment horizontal="center" vertical="center" wrapText="1"/>
    </xf>
    <xf numFmtId="0" fontId="13" fillId="14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8" fillId="12" borderId="1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/>
    </xf>
    <xf numFmtId="165" fontId="5" fillId="12" borderId="2" applyAlignment="1" pivotButton="0" quotePrefix="0" xfId="0">
      <alignment horizontal="right" vertical="center"/>
    </xf>
    <xf numFmtId="165" fontId="7" fillId="11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0" fontId="21" fillId="12" borderId="2" applyAlignment="1" pivotButton="0" quotePrefix="0" xfId="0">
      <alignment horizontal="center" vertical="center"/>
    </xf>
    <xf numFmtId="165" fontId="7" fillId="16" borderId="2" applyAlignment="1" pivotButton="0" quotePrefix="0" xfId="0">
      <alignment horizontal="right" vertical="center"/>
    </xf>
    <xf numFmtId="165" fontId="22" fillId="5" borderId="2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/>
    </xf>
    <xf numFmtId="0" fontId="23" fillId="14" borderId="18" applyAlignment="1" pivotButton="0" quotePrefix="0" xfId="0">
      <alignment horizontal="left" vertical="center"/>
    </xf>
    <xf numFmtId="165" fontId="24" fillId="14" borderId="19" applyAlignment="1" pivotButton="0" quotePrefix="0" xfId="0">
      <alignment horizontal="right" vertical="center"/>
    </xf>
    <xf numFmtId="0" fontId="25" fillId="14" borderId="19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 wrapText="1"/>
    </xf>
    <xf numFmtId="0" fontId="23" fillId="17" borderId="18" applyAlignment="1" pivotButton="0" quotePrefix="0" xfId="0">
      <alignment horizontal="left" vertical="center"/>
    </xf>
    <xf numFmtId="165" fontId="24" fillId="17" borderId="19" applyAlignment="1" pivotButton="0" quotePrefix="0" xfId="0">
      <alignment horizontal="right" vertical="center"/>
    </xf>
    <xf numFmtId="0" fontId="26" fillId="17" borderId="19" applyAlignment="1" pivotButton="0" quotePrefix="0" xfId="0">
      <alignment horizontal="left" vertical="center"/>
    </xf>
    <xf numFmtId="0" fontId="0" fillId="12" borderId="7" pivotButton="0" quotePrefix="0" xfId="0"/>
    <xf numFmtId="165" fontId="27" fillId="15" borderId="7" pivotButton="0" quotePrefix="0" xfId="0"/>
    <xf numFmtId="0" fontId="3" fillId="4" borderId="18" applyAlignment="1" pivotButton="0" quotePrefix="0" xfId="0">
      <alignment horizontal="left" vertical="center"/>
    </xf>
    <xf numFmtId="165" fontId="1" fillId="4" borderId="19" applyAlignment="1" pivotButton="0" quotePrefix="0" xfId="0">
      <alignment horizontal="right" vertical="center"/>
    </xf>
    <xf numFmtId="0" fontId="25" fillId="4" borderId="19" applyAlignment="1" pivotButton="0" quotePrefix="0" xfId="0">
      <alignment horizontal="left" vertical="center"/>
    </xf>
    <xf numFmtId="0" fontId="28" fillId="10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/>
    </xf>
    <xf numFmtId="0" fontId="13" fillId="18" borderId="4" applyAlignment="1" pivotButton="0" quotePrefix="0" xfId="0">
      <alignment horizontal="center" vertical="center" wrapText="1"/>
    </xf>
    <xf numFmtId="0" fontId="13" fillId="18" borderId="5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29" fillId="10" borderId="2" applyAlignment="1" pivotButton="0" quotePrefix="0" xfId="0">
      <alignment horizontal="left" vertical="center" wrapText="1"/>
    </xf>
    <xf numFmtId="0" fontId="21" fillId="10" borderId="2" applyAlignment="1" pivotButton="0" quotePrefix="0" xfId="0">
      <alignment horizontal="left" vertical="center" wrapText="1"/>
    </xf>
    <xf numFmtId="0" fontId="21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1" fillId="11" borderId="2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6" fontId="8" fillId="6" borderId="7" applyAlignment="1" pivotButton="0" quotePrefix="0" xfId="0">
      <alignment horizontal="left" vertical="center"/>
    </xf>
    <xf numFmtId="0" fontId="0" fillId="15" borderId="7" applyAlignment="1" pivotButton="0" quotePrefix="0" xfId="0">
      <alignment vertical="center"/>
    </xf>
    <xf numFmtId="166" fontId="8" fillId="10" borderId="7" applyAlignment="1" pivotButton="0" quotePrefix="0" xfId="0">
      <alignment horizontal="left" vertical="center"/>
    </xf>
    <xf numFmtId="0" fontId="0" fillId="10" borderId="7" pivotButton="0" quotePrefix="0" xfId="0"/>
    <xf numFmtId="0" fontId="13" fillId="18" borderId="6" applyAlignment="1" pivotButton="0" quotePrefix="0" xfId="0">
      <alignment horizontal="center" vertical="center" wrapText="1"/>
    </xf>
    <xf numFmtId="0" fontId="0" fillId="19" borderId="7" applyAlignment="1" pivotButton="0" quotePrefix="0" xfId="0">
      <alignment horizontal="center" vertical="center"/>
    </xf>
    <xf numFmtId="164" fontId="29" fillId="10" borderId="7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/>
    </xf>
    <xf numFmtId="0" fontId="13" fillId="20" borderId="4" applyAlignment="1" pivotButton="0" quotePrefix="0" xfId="0">
      <alignment horizontal="center" vertical="center" wrapText="1"/>
    </xf>
    <xf numFmtId="0" fontId="13" fillId="20" borderId="5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21" fillId="7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13" fillId="14" borderId="4" applyAlignment="1" pivotButton="0" quotePrefix="0" xfId="0">
      <alignment horizontal="center" vertical="center" wrapText="1"/>
    </xf>
    <xf numFmtId="0" fontId="13" fillId="14" borderId="5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 wrapText="1"/>
    </xf>
    <xf numFmtId="0" fontId="31" fillId="8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/>
    </xf>
    <xf numFmtId="0" fontId="29" fillId="10" borderId="2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12" fillId="11" borderId="3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5" fillId="1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44" customHeight="1">
      <c r="A1" s="1" t="inlineStr">
        <is>
          <t>👦 PROGRAM &amp; LAPORAN PERKEMBANGAN ANAK BINAAN — NAWA CAHAYA</t>
        </is>
      </c>
    </row>
    <row r="2" ht="18" customHeight="1">
      <c r="A2" s="2" t="inlineStr">
        <is>
          <t>Dashboard Progress Anak · Terintegrasi dengan Sistem Donasi · Update Real-Time</t>
        </is>
      </c>
    </row>
    <row r="4" ht="22" customHeight="1">
      <c r="A4" s="3" t="inlineStr">
        <is>
          <t>📋 A. DATA PROFIL ANAK BINAAN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 ht="26" customHeight="1">
      <c r="A5" s="6" t="inlineStr">
        <is>
          <t>ID</t>
        </is>
      </c>
      <c r="B5" s="7" t="inlineStr">
        <is>
          <t>Nama Lengkap</t>
        </is>
      </c>
      <c r="C5" s="7" t="inlineStr">
        <is>
          <t>Tgl Masuk</t>
        </is>
      </c>
      <c r="D5" s="7" t="inlineStr">
        <is>
          <t>Usia</t>
        </is>
      </c>
      <c r="E5" s="7" t="inlineStr">
        <is>
          <t>Asal</t>
        </is>
      </c>
      <c r="F5" s="7" t="inlineStr">
        <is>
          <t>Status Legal</t>
        </is>
      </c>
      <c r="G5" s="7" t="inlineStr">
        <is>
          <t>Tim</t>
        </is>
      </c>
      <c r="H5" s="7" t="inlineStr">
        <is>
          <t>Kontak Wali</t>
        </is>
      </c>
      <c r="I5" s="7" t="inlineStr">
        <is>
          <t>Kondisi Awal</t>
        </is>
      </c>
      <c r="J5" s="7" t="inlineStr">
        <is>
          <t>Foto</t>
        </is>
      </c>
      <c r="K5" s="7" t="inlineStr">
        <is>
          <t>Catatan Khusus</t>
        </is>
      </c>
      <c r="L5" s="8" t="inlineStr">
        <is>
          <t>Update</t>
        </is>
      </c>
    </row>
    <row r="6" ht="20" customHeight="1">
      <c r="A6" s="9" t="inlineStr">
        <is>
          <t>NC-001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20" customHeight="1">
      <c r="A7" s="9" t="inlineStr">
        <is>
          <t>NC-002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 ht="20" customHeight="1">
      <c r="A8" s="9" t="inlineStr">
        <is>
          <t>NC-003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20" customHeight="1">
      <c r="A9" s="9" t="inlineStr">
        <is>
          <t>NC-004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20" customHeight="1">
      <c r="A10" s="9" t="inlineStr">
        <is>
          <t>NC-005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20" customHeight="1">
      <c r="A11" s="9" t="inlineStr">
        <is>
          <t>NC-006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20" customHeight="1">
      <c r="A12" s="9" t="inlineStr">
        <is>
          <t>NC-007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20" customHeight="1">
      <c r="A13" s="9" t="inlineStr">
        <is>
          <t>NC-008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20" customHeight="1">
      <c r="A14" s="9" t="inlineStr">
        <is>
          <t>NC-009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20" customHeight="1">
      <c r="A15" s="9" t="inlineStr">
        <is>
          <t>NC-010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20" customHeight="1">
      <c r="A16" s="9" t="inlineStr">
        <is>
          <t>NC-011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20" customHeight="1">
      <c r="A17" s="9" t="inlineStr">
        <is>
          <t>NC-012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20" customHeight="1">
      <c r="A18" s="9" t="inlineStr">
        <is>
          <t>NC-013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20" customHeight="1">
      <c r="A19" s="9" t="inlineStr">
        <is>
          <t>NC-014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20" customHeight="1">
      <c r="A20" s="9" t="inlineStr">
        <is>
          <t>NC-015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20" customHeight="1">
      <c r="A21" s="9" t="inlineStr">
        <is>
          <t>NC-016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20" customHeight="1">
      <c r="A22" s="9" t="inlineStr">
        <is>
          <t>NC-017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0" customHeight="1">
      <c r="A23" s="9" t="inlineStr">
        <is>
          <t>NC-018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20" customHeight="1">
      <c r="A24" s="9" t="inlineStr">
        <is>
          <t>NC-019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20" customHeight="1">
      <c r="A25" s="9" t="inlineStr">
        <is>
          <t>NC-020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7" ht="22" customHeight="1">
      <c r="A27" s="3" t="inlineStr">
        <is>
          <t>📚 B. TRACKER PENDIDIKAN &amp; SKILL (Per Anak Per Bulan)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5" t="n"/>
    </row>
    <row r="28" ht="28" customHeight="1">
      <c r="A28" s="12" t="inlineStr">
        <is>
          <t xml:space="preserve">  Isi nilai 1–5 untuk setiap bidang. 5 = Excellent, 1 = Butuh Bantuan Ekstra. Data ini muncul otomatis di Impact Dashboard donatur.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 ht="26" customHeight="1">
      <c r="A29" s="6" t="inlineStr">
        <is>
          <t>ID Anak</t>
        </is>
      </c>
      <c r="B29" s="7" t="inlineStr">
        <is>
          <t>Nama</t>
        </is>
      </c>
      <c r="C29" s="7" t="inlineStr">
        <is>
          <t>Bulan</t>
        </is>
      </c>
      <c r="D29" s="7" t="inlineStr">
        <is>
          <t>Paket C
(Akademik)</t>
        </is>
      </c>
      <c r="E29" s="7" t="inlineStr">
        <is>
          <t>Skill
Kreatif</t>
        </is>
      </c>
      <c r="F29" s="7" t="inlineStr">
        <is>
          <t>Skill
Digital</t>
        </is>
      </c>
      <c r="G29" s="7" t="inlineStr">
        <is>
          <t>Skill
Pertanian</t>
        </is>
      </c>
      <c r="H29" s="7" t="inlineStr">
        <is>
          <t>Psikologi
&amp; Karakter</t>
        </is>
      </c>
      <c r="I29" s="7" t="inlineStr">
        <is>
          <t>Kepemimpinan</t>
        </is>
      </c>
      <c r="J29" s="7" t="inlineStr">
        <is>
          <t>Sosial</t>
        </is>
      </c>
      <c r="K29" s="7" t="inlineStr">
        <is>
          <t>Nilai
Rata2</t>
        </is>
      </c>
      <c r="L29" s="8" t="inlineStr">
        <is>
          <t>Status</t>
        </is>
      </c>
    </row>
    <row r="30" ht="18" customHeight="1">
      <c r="A30" s="13" t="inlineStr">
        <is>
          <t>NC-001</t>
        </is>
      </c>
      <c r="B30" s="14" t="inlineStr"/>
      <c r="C30" s="14" t="inlineStr"/>
      <c r="D30" s="15" t="n"/>
      <c r="E30" s="15" t="n"/>
      <c r="F30" s="15" t="n"/>
      <c r="G30" s="15" t="n"/>
      <c r="H30" s="15" t="n"/>
      <c r="I30" s="15" t="n"/>
      <c r="J30" s="15" t="n"/>
      <c r="K30" s="16">
        <f>IFERROR(AVERAGE(D30:J30),"")</f>
        <v/>
      </c>
      <c r="L30" s="17">
        <f>IFERROR(IF(K30&gt;=4,"🌟 Sangat Baik",IF(K30&gt;=3,"✅ Berkembang",IF(K30&gt;=2,"📈 Perlu Perhatian","⚠️ Perlu Intervensi"))),"—")</f>
        <v/>
      </c>
    </row>
    <row r="31" ht="18" customHeight="1">
      <c r="A31" s="13" t="inlineStr">
        <is>
          <t>NC-002</t>
        </is>
      </c>
      <c r="B31" s="18" t="inlineStr"/>
      <c r="C31" s="18" t="inlineStr"/>
      <c r="D31" s="15" t="n"/>
      <c r="E31" s="15" t="n"/>
      <c r="F31" s="15" t="n"/>
      <c r="G31" s="15" t="n"/>
      <c r="H31" s="15" t="n"/>
      <c r="I31" s="15" t="n"/>
      <c r="J31" s="15" t="n"/>
      <c r="K31" s="16">
        <f>IFERROR(AVERAGE(D31:J31),"")</f>
        <v/>
      </c>
      <c r="L31" s="17">
        <f>IFERROR(IF(K31&gt;=4,"🌟 Sangat Baik",IF(K31&gt;=3,"✅ Berkembang",IF(K31&gt;=2,"📈 Perlu Perhatian","⚠️ Perlu Intervensi"))),"—")</f>
        <v/>
      </c>
    </row>
    <row r="32" ht="18" customHeight="1">
      <c r="A32" s="13" t="inlineStr">
        <is>
          <t>NC-003</t>
        </is>
      </c>
      <c r="B32" s="14" t="inlineStr"/>
      <c r="C32" s="14" t="inlineStr"/>
      <c r="D32" s="15" t="n"/>
      <c r="E32" s="15" t="n"/>
      <c r="F32" s="15" t="n"/>
      <c r="G32" s="15" t="n"/>
      <c r="H32" s="15" t="n"/>
      <c r="I32" s="15" t="n"/>
      <c r="J32" s="15" t="n"/>
      <c r="K32" s="16">
        <f>IFERROR(AVERAGE(D32:J32),"")</f>
        <v/>
      </c>
      <c r="L32" s="17">
        <f>IFERROR(IF(K32&gt;=4,"🌟 Sangat Baik",IF(K32&gt;=3,"✅ Berkembang",IF(K32&gt;=2,"📈 Perlu Perhatian","⚠️ Perlu Intervensi"))),"—")</f>
        <v/>
      </c>
    </row>
    <row r="33" ht="18" customHeight="1">
      <c r="A33" s="13" t="inlineStr">
        <is>
          <t>NC-004</t>
        </is>
      </c>
      <c r="B33" s="18" t="inlineStr"/>
      <c r="C33" s="18" t="inlineStr"/>
      <c r="D33" s="15" t="n"/>
      <c r="E33" s="15" t="n"/>
      <c r="F33" s="15" t="n"/>
      <c r="G33" s="15" t="n"/>
      <c r="H33" s="15" t="n"/>
      <c r="I33" s="15" t="n"/>
      <c r="J33" s="15" t="n"/>
      <c r="K33" s="16">
        <f>IFERROR(AVERAGE(D33:J33),"")</f>
        <v/>
      </c>
      <c r="L33" s="17">
        <f>IFERROR(IF(K33&gt;=4,"🌟 Sangat Baik",IF(K33&gt;=3,"✅ Berkembang",IF(K33&gt;=2,"📈 Perlu Perhatian","⚠️ Perlu Intervensi"))),"—")</f>
        <v/>
      </c>
    </row>
    <row r="34" ht="18" customHeight="1">
      <c r="A34" s="13" t="inlineStr">
        <is>
          <t>NC-005</t>
        </is>
      </c>
      <c r="B34" s="14" t="inlineStr"/>
      <c r="C34" s="14" t="inlineStr"/>
      <c r="D34" s="15" t="n"/>
      <c r="E34" s="15" t="n"/>
      <c r="F34" s="15" t="n"/>
      <c r="G34" s="15" t="n"/>
      <c r="H34" s="15" t="n"/>
      <c r="I34" s="15" t="n"/>
      <c r="J34" s="15" t="n"/>
      <c r="K34" s="16">
        <f>IFERROR(AVERAGE(D34:J34),"")</f>
        <v/>
      </c>
      <c r="L34" s="17">
        <f>IFERROR(IF(K34&gt;=4,"🌟 Sangat Baik",IF(K34&gt;=3,"✅ Berkembang",IF(K34&gt;=2,"📈 Perlu Perhatian","⚠️ Perlu Intervensi"))),"—")</f>
        <v/>
      </c>
    </row>
    <row r="35" ht="18" customHeight="1">
      <c r="A35" s="13" t="inlineStr">
        <is>
          <t>NC-006</t>
        </is>
      </c>
      <c r="B35" s="18" t="inlineStr"/>
      <c r="C35" s="18" t="inlineStr"/>
      <c r="D35" s="15" t="n"/>
      <c r="E35" s="15" t="n"/>
      <c r="F35" s="15" t="n"/>
      <c r="G35" s="15" t="n"/>
      <c r="H35" s="15" t="n"/>
      <c r="I35" s="15" t="n"/>
      <c r="J35" s="15" t="n"/>
      <c r="K35" s="16">
        <f>IFERROR(AVERAGE(D35:J35),"")</f>
        <v/>
      </c>
      <c r="L35" s="17">
        <f>IFERROR(IF(K35&gt;=4,"🌟 Sangat Baik",IF(K35&gt;=3,"✅ Berkembang",IF(K35&gt;=2,"📈 Perlu Perhatian","⚠️ Perlu Intervensi"))),"—")</f>
        <v/>
      </c>
    </row>
    <row r="36" ht="18" customHeight="1">
      <c r="A36" s="13" t="inlineStr">
        <is>
          <t>NC-007</t>
        </is>
      </c>
      <c r="B36" s="14" t="inlineStr"/>
      <c r="C36" s="14" t="inlineStr"/>
      <c r="D36" s="15" t="n"/>
      <c r="E36" s="15" t="n"/>
      <c r="F36" s="15" t="n"/>
      <c r="G36" s="15" t="n"/>
      <c r="H36" s="15" t="n"/>
      <c r="I36" s="15" t="n"/>
      <c r="J36" s="15" t="n"/>
      <c r="K36" s="16">
        <f>IFERROR(AVERAGE(D36:J36),"")</f>
        <v/>
      </c>
      <c r="L36" s="17">
        <f>IFERROR(IF(K36&gt;=4,"🌟 Sangat Baik",IF(K36&gt;=3,"✅ Berkembang",IF(K36&gt;=2,"📈 Perlu Perhatian","⚠️ Perlu Intervensi"))),"—")</f>
        <v/>
      </c>
    </row>
    <row r="37" ht="18" customHeight="1">
      <c r="A37" s="13" t="inlineStr">
        <is>
          <t>NC-008</t>
        </is>
      </c>
      <c r="B37" s="18" t="inlineStr"/>
      <c r="C37" s="18" t="inlineStr"/>
      <c r="D37" s="15" t="n"/>
      <c r="E37" s="15" t="n"/>
      <c r="F37" s="15" t="n"/>
      <c r="G37" s="15" t="n"/>
      <c r="H37" s="15" t="n"/>
      <c r="I37" s="15" t="n"/>
      <c r="J37" s="15" t="n"/>
      <c r="K37" s="16">
        <f>IFERROR(AVERAGE(D37:J37),"")</f>
        <v/>
      </c>
      <c r="L37" s="17">
        <f>IFERROR(IF(K37&gt;=4,"🌟 Sangat Baik",IF(K37&gt;=3,"✅ Berkembang",IF(K37&gt;=2,"📈 Perlu Perhatian","⚠️ Perlu Intervensi"))),"—")</f>
        <v/>
      </c>
    </row>
    <row r="38" ht="18" customHeight="1">
      <c r="A38" s="13" t="inlineStr">
        <is>
          <t>NC-009</t>
        </is>
      </c>
      <c r="B38" s="14" t="inlineStr"/>
      <c r="C38" s="14" t="inlineStr"/>
      <c r="D38" s="15" t="n"/>
      <c r="E38" s="15" t="n"/>
      <c r="F38" s="15" t="n"/>
      <c r="G38" s="15" t="n"/>
      <c r="H38" s="15" t="n"/>
      <c r="I38" s="15" t="n"/>
      <c r="J38" s="15" t="n"/>
      <c r="K38" s="16">
        <f>IFERROR(AVERAGE(D38:J38),"")</f>
        <v/>
      </c>
      <c r="L38" s="17">
        <f>IFERROR(IF(K38&gt;=4,"🌟 Sangat Baik",IF(K38&gt;=3,"✅ Berkembang",IF(K38&gt;=2,"📈 Perlu Perhatian","⚠️ Perlu Intervensi"))),"—")</f>
        <v/>
      </c>
    </row>
    <row r="39" ht="18" customHeight="1">
      <c r="A39" s="13" t="inlineStr">
        <is>
          <t>NC-010</t>
        </is>
      </c>
      <c r="B39" s="18" t="inlineStr"/>
      <c r="C39" s="18" t="inlineStr"/>
      <c r="D39" s="15" t="n"/>
      <c r="E39" s="15" t="n"/>
      <c r="F39" s="15" t="n"/>
      <c r="G39" s="15" t="n"/>
      <c r="H39" s="15" t="n"/>
      <c r="I39" s="15" t="n"/>
      <c r="J39" s="15" t="n"/>
      <c r="K39" s="16">
        <f>IFERROR(AVERAGE(D39:J39),"")</f>
        <v/>
      </c>
      <c r="L39" s="17">
        <f>IFERROR(IF(K39&gt;=4,"🌟 Sangat Baik",IF(K39&gt;=3,"✅ Berkembang",IF(K39&gt;=2,"📈 Perlu Perhatian","⚠️ Perlu Intervensi"))),"—")</f>
        <v/>
      </c>
    </row>
    <row r="40" ht="18" customHeight="1">
      <c r="A40" s="13" t="inlineStr">
        <is>
          <t>NC-011</t>
        </is>
      </c>
      <c r="B40" s="14" t="inlineStr"/>
      <c r="C40" s="14" t="inlineStr"/>
      <c r="D40" s="15" t="n"/>
      <c r="E40" s="15" t="n"/>
      <c r="F40" s="15" t="n"/>
      <c r="G40" s="15" t="n"/>
      <c r="H40" s="15" t="n"/>
      <c r="I40" s="15" t="n"/>
      <c r="J40" s="15" t="n"/>
      <c r="K40" s="16">
        <f>IFERROR(AVERAGE(D40:J40),"")</f>
        <v/>
      </c>
      <c r="L40" s="17">
        <f>IFERROR(IF(K40&gt;=4,"🌟 Sangat Baik",IF(K40&gt;=3,"✅ Berkembang",IF(K40&gt;=2,"📈 Perlu Perhatian","⚠️ Perlu Intervensi"))),"—")</f>
        <v/>
      </c>
    </row>
    <row r="41" ht="18" customHeight="1">
      <c r="A41" s="13" t="inlineStr">
        <is>
          <t>NC-012</t>
        </is>
      </c>
      <c r="B41" s="18" t="inlineStr"/>
      <c r="C41" s="18" t="inlineStr"/>
      <c r="D41" s="15" t="n"/>
      <c r="E41" s="15" t="n"/>
      <c r="F41" s="15" t="n"/>
      <c r="G41" s="15" t="n"/>
      <c r="H41" s="15" t="n"/>
      <c r="I41" s="15" t="n"/>
      <c r="J41" s="15" t="n"/>
      <c r="K41" s="16">
        <f>IFERROR(AVERAGE(D41:J41),"")</f>
        <v/>
      </c>
      <c r="L41" s="17">
        <f>IFERROR(IF(K41&gt;=4,"🌟 Sangat Baik",IF(K41&gt;=3,"✅ Berkembang",IF(K41&gt;=2,"📈 Perlu Perhatian","⚠️ Perlu Intervensi"))),"—")</f>
        <v/>
      </c>
    </row>
    <row r="42" ht="18" customHeight="1">
      <c r="A42" s="13" t="inlineStr">
        <is>
          <t>NC-013</t>
        </is>
      </c>
      <c r="B42" s="14" t="inlineStr"/>
      <c r="C42" s="14" t="inlineStr"/>
      <c r="D42" s="15" t="n"/>
      <c r="E42" s="15" t="n"/>
      <c r="F42" s="15" t="n"/>
      <c r="G42" s="15" t="n"/>
      <c r="H42" s="15" t="n"/>
      <c r="I42" s="15" t="n"/>
      <c r="J42" s="15" t="n"/>
      <c r="K42" s="16">
        <f>IFERROR(AVERAGE(D42:J42),"")</f>
        <v/>
      </c>
      <c r="L42" s="17">
        <f>IFERROR(IF(K42&gt;=4,"🌟 Sangat Baik",IF(K42&gt;=3,"✅ Berkembang",IF(K42&gt;=2,"📈 Perlu Perhatian","⚠️ Perlu Intervensi"))),"—")</f>
        <v/>
      </c>
    </row>
    <row r="43" ht="18" customHeight="1">
      <c r="A43" s="13" t="inlineStr">
        <is>
          <t>NC-014</t>
        </is>
      </c>
      <c r="B43" s="18" t="inlineStr"/>
      <c r="C43" s="18" t="inlineStr"/>
      <c r="D43" s="15" t="n"/>
      <c r="E43" s="15" t="n"/>
      <c r="F43" s="15" t="n"/>
      <c r="G43" s="15" t="n"/>
      <c r="H43" s="15" t="n"/>
      <c r="I43" s="15" t="n"/>
      <c r="J43" s="15" t="n"/>
      <c r="K43" s="16">
        <f>IFERROR(AVERAGE(D43:J43),"")</f>
        <v/>
      </c>
      <c r="L43" s="17">
        <f>IFERROR(IF(K43&gt;=4,"🌟 Sangat Baik",IF(K43&gt;=3,"✅ Berkembang",IF(K43&gt;=2,"📈 Perlu Perhatian","⚠️ Perlu Intervensi"))),"—")</f>
        <v/>
      </c>
    </row>
    <row r="44" ht="18" customHeight="1">
      <c r="A44" s="13" t="inlineStr">
        <is>
          <t>NC-015</t>
        </is>
      </c>
      <c r="B44" s="14" t="inlineStr"/>
      <c r="C44" s="14" t="inlineStr"/>
      <c r="D44" s="15" t="n"/>
      <c r="E44" s="15" t="n"/>
      <c r="F44" s="15" t="n"/>
      <c r="G44" s="15" t="n"/>
      <c r="H44" s="15" t="n"/>
      <c r="I44" s="15" t="n"/>
      <c r="J44" s="15" t="n"/>
      <c r="K44" s="16">
        <f>IFERROR(AVERAGE(D44:J44),"")</f>
        <v/>
      </c>
      <c r="L44" s="17">
        <f>IFERROR(IF(K44&gt;=4,"🌟 Sangat Baik",IF(K44&gt;=3,"✅ Berkembang",IF(K44&gt;=2,"📈 Perlu Perhatian","⚠️ Perlu Intervensi"))),"—")</f>
        <v/>
      </c>
    </row>
    <row r="45" ht="18" customHeight="1">
      <c r="A45" s="13" t="inlineStr">
        <is>
          <t>NC-016</t>
        </is>
      </c>
      <c r="B45" s="18" t="inlineStr"/>
      <c r="C45" s="18" t="inlineStr"/>
      <c r="D45" s="15" t="n"/>
      <c r="E45" s="15" t="n"/>
      <c r="F45" s="15" t="n"/>
      <c r="G45" s="15" t="n"/>
      <c r="H45" s="15" t="n"/>
      <c r="I45" s="15" t="n"/>
      <c r="J45" s="15" t="n"/>
      <c r="K45" s="16">
        <f>IFERROR(AVERAGE(D45:J45),"")</f>
        <v/>
      </c>
      <c r="L45" s="17">
        <f>IFERROR(IF(K45&gt;=4,"🌟 Sangat Baik",IF(K45&gt;=3,"✅ Berkembang",IF(K45&gt;=2,"📈 Perlu Perhatian","⚠️ Perlu Intervensi"))),"—")</f>
        <v/>
      </c>
    </row>
    <row r="46" ht="18" customHeight="1">
      <c r="A46" s="13" t="inlineStr">
        <is>
          <t>NC-017</t>
        </is>
      </c>
      <c r="B46" s="14" t="inlineStr"/>
      <c r="C46" s="14" t="inlineStr"/>
      <c r="D46" s="15" t="n"/>
      <c r="E46" s="15" t="n"/>
      <c r="F46" s="15" t="n"/>
      <c r="G46" s="15" t="n"/>
      <c r="H46" s="15" t="n"/>
      <c r="I46" s="15" t="n"/>
      <c r="J46" s="15" t="n"/>
      <c r="K46" s="16">
        <f>IFERROR(AVERAGE(D46:J46),"")</f>
        <v/>
      </c>
      <c r="L46" s="17">
        <f>IFERROR(IF(K46&gt;=4,"🌟 Sangat Baik",IF(K46&gt;=3,"✅ Berkembang",IF(K46&gt;=2,"📈 Perlu Perhatian","⚠️ Perlu Intervensi"))),"—")</f>
        <v/>
      </c>
    </row>
    <row r="47" ht="18" customHeight="1">
      <c r="A47" s="13" t="inlineStr">
        <is>
          <t>NC-018</t>
        </is>
      </c>
      <c r="B47" s="18" t="inlineStr"/>
      <c r="C47" s="18" t="inlineStr"/>
      <c r="D47" s="15" t="n"/>
      <c r="E47" s="15" t="n"/>
      <c r="F47" s="15" t="n"/>
      <c r="G47" s="15" t="n"/>
      <c r="H47" s="15" t="n"/>
      <c r="I47" s="15" t="n"/>
      <c r="J47" s="15" t="n"/>
      <c r="K47" s="16">
        <f>IFERROR(AVERAGE(D47:J47),"")</f>
        <v/>
      </c>
      <c r="L47" s="17">
        <f>IFERROR(IF(K47&gt;=4,"🌟 Sangat Baik",IF(K47&gt;=3,"✅ Berkembang",IF(K47&gt;=2,"📈 Perlu Perhatian","⚠️ Perlu Intervensi"))),"—")</f>
        <v/>
      </c>
    </row>
    <row r="48" ht="18" customHeight="1">
      <c r="A48" s="13" t="inlineStr">
        <is>
          <t>NC-019</t>
        </is>
      </c>
      <c r="B48" s="14" t="inlineStr"/>
      <c r="C48" s="14" t="inlineStr"/>
      <c r="D48" s="15" t="n"/>
      <c r="E48" s="15" t="n"/>
      <c r="F48" s="15" t="n"/>
      <c r="G48" s="15" t="n"/>
      <c r="H48" s="15" t="n"/>
      <c r="I48" s="15" t="n"/>
      <c r="J48" s="15" t="n"/>
      <c r="K48" s="16">
        <f>IFERROR(AVERAGE(D48:J48),"")</f>
        <v/>
      </c>
      <c r="L48" s="17">
        <f>IFERROR(IF(K48&gt;=4,"🌟 Sangat Baik",IF(K48&gt;=3,"✅ Berkembang",IF(K48&gt;=2,"📈 Perlu Perhatian","⚠️ Perlu Intervensi"))),"—")</f>
        <v/>
      </c>
    </row>
    <row r="49" ht="18" customHeight="1">
      <c r="A49" s="13" t="inlineStr">
        <is>
          <t>NC-020</t>
        </is>
      </c>
      <c r="B49" s="18" t="inlineStr"/>
      <c r="C49" s="18" t="inlineStr"/>
      <c r="D49" s="15" t="n"/>
      <c r="E49" s="15" t="n"/>
      <c r="F49" s="15" t="n"/>
      <c r="G49" s="15" t="n"/>
      <c r="H49" s="15" t="n"/>
      <c r="I49" s="15" t="n"/>
      <c r="J49" s="15" t="n"/>
      <c r="K49" s="16">
        <f>IFERROR(AVERAGE(D49:J49),"")</f>
        <v/>
      </c>
      <c r="L49" s="17">
        <f>IFERROR(IF(K49&gt;=4,"🌟 Sangat Baik",IF(K49&gt;=3,"✅ Berkembang",IF(K49&gt;=2,"📈 Perlu Perhatian","⚠️ Perlu Intervensi"))),"—")</f>
        <v/>
      </c>
    </row>
    <row r="51" ht="22" customHeight="1">
      <c r="A51" s="3" t="inlineStr">
        <is>
          <t>✅ C. CHECKLIST PENGUASAAN SKILL FISIK (Penentu Porsi Bagi Hasil)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/>
    </row>
    <row r="52" ht="26" customHeight="1">
      <c r="A52" s="6" t="inlineStr">
        <is>
          <t>ID</t>
        </is>
      </c>
      <c r="B52" s="7" t="inlineStr">
        <is>
          <t>Nama</t>
        </is>
      </c>
      <c r="C52" s="7" t="inlineStr">
        <is>
          <t>Lahan</t>
        </is>
      </c>
      <c r="D52" s="7" t="inlineStr">
        <is>
          <t>Bibit</t>
        </is>
      </c>
      <c r="E52" s="7" t="inlineStr">
        <is>
          <t>Irigasi</t>
        </is>
      </c>
      <c r="F52" s="7" t="inlineStr">
        <is>
          <t>Pupuk</t>
        </is>
      </c>
      <c r="G52" s="7" t="inlineStr">
        <is>
          <t>Hama</t>
        </is>
      </c>
      <c r="H52" s="7" t="inlineStr">
        <is>
          <t>Sortasi</t>
        </is>
      </c>
      <c r="I52" s="7" t="inlineStr">
        <is>
          <t>Alat</t>
        </is>
      </c>
      <c r="J52" s="7" t="inlineStr">
        <is>
          <t>Logbook</t>
        </is>
      </c>
      <c r="K52" s="7" t="inlineStr">
        <is>
          <t>Biaya</t>
        </is>
      </c>
      <c r="L52" s="8" t="inlineStr">
        <is>
          <t>Pimpin Tim</t>
        </is>
      </c>
    </row>
    <row r="53" ht="18" customHeight="1">
      <c r="A53" s="13" t="inlineStr">
        <is>
          <t>NC-001</t>
        </is>
      </c>
      <c r="B53" s="14" t="inlineStr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</row>
    <row r="54" ht="18" customHeight="1">
      <c r="A54" s="13" t="inlineStr">
        <is>
          <t>NC-002</t>
        </is>
      </c>
      <c r="B54" s="20" t="inlineStr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</row>
    <row r="55" ht="18" customHeight="1">
      <c r="A55" s="13" t="inlineStr">
        <is>
          <t>NC-003</t>
        </is>
      </c>
      <c r="B55" s="14" t="inlineStr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</row>
    <row r="56" ht="18" customHeight="1">
      <c r="A56" s="13" t="inlineStr">
        <is>
          <t>NC-004</t>
        </is>
      </c>
      <c r="B56" s="20" t="inlineStr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</row>
    <row r="57" ht="18" customHeight="1">
      <c r="A57" s="13" t="inlineStr">
        <is>
          <t>NC-005</t>
        </is>
      </c>
      <c r="B57" s="14" t="inlineStr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</row>
    <row r="58" ht="18" customHeight="1">
      <c r="A58" s="13" t="inlineStr">
        <is>
          <t>NC-006</t>
        </is>
      </c>
      <c r="B58" s="20" t="inlineStr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</row>
    <row r="59" ht="18" customHeight="1">
      <c r="A59" s="13" t="inlineStr">
        <is>
          <t>NC-007</t>
        </is>
      </c>
      <c r="B59" s="14" t="inlineStr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</row>
    <row r="60" ht="18" customHeight="1">
      <c r="A60" s="13" t="inlineStr">
        <is>
          <t>NC-008</t>
        </is>
      </c>
      <c r="B60" s="20" t="inlineStr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</row>
    <row r="61" ht="18" customHeight="1">
      <c r="A61" s="13" t="inlineStr">
        <is>
          <t>NC-009</t>
        </is>
      </c>
      <c r="B61" s="14" t="inlineStr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</row>
    <row r="62" ht="18" customHeight="1">
      <c r="A62" s="13" t="inlineStr">
        <is>
          <t>NC-010</t>
        </is>
      </c>
      <c r="B62" s="20" t="inlineStr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</row>
    <row r="63" ht="18" customHeight="1">
      <c r="A63" s="13" t="inlineStr">
        <is>
          <t>NC-011</t>
        </is>
      </c>
      <c r="B63" s="14" t="inlineStr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</row>
    <row r="64" ht="18" customHeight="1">
      <c r="A64" s="13" t="inlineStr">
        <is>
          <t>NC-012</t>
        </is>
      </c>
      <c r="B64" s="20" t="inlineStr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</row>
    <row r="65" ht="18" customHeight="1">
      <c r="A65" s="13" t="inlineStr">
        <is>
          <t>NC-013</t>
        </is>
      </c>
      <c r="B65" s="14" t="inlineStr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</row>
    <row r="66" ht="18" customHeight="1">
      <c r="A66" s="13" t="inlineStr">
        <is>
          <t>NC-014</t>
        </is>
      </c>
      <c r="B66" s="20" t="inlineStr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</row>
    <row r="67" ht="18" customHeight="1">
      <c r="A67" s="13" t="inlineStr">
        <is>
          <t>NC-015</t>
        </is>
      </c>
      <c r="B67" s="14" t="inlineStr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</row>
    <row r="68" ht="18" customHeight="1">
      <c r="A68" s="13" t="inlineStr">
        <is>
          <t>NC-016</t>
        </is>
      </c>
      <c r="B68" s="20" t="inlineStr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</row>
    <row r="69" ht="18" customHeight="1">
      <c r="A69" s="13" t="inlineStr">
        <is>
          <t>NC-017</t>
        </is>
      </c>
      <c r="B69" s="14" t="inlineStr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</row>
    <row r="70" ht="18" customHeight="1">
      <c r="A70" s="13" t="inlineStr">
        <is>
          <t>NC-018</t>
        </is>
      </c>
      <c r="B70" s="20" t="inlineStr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</row>
    <row r="71" ht="18" customHeight="1">
      <c r="A71" s="13" t="inlineStr">
        <is>
          <t>NC-019</t>
        </is>
      </c>
      <c r="B71" s="14" t="inlineStr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</row>
    <row r="72" ht="18" customHeight="1">
      <c r="A72" s="13" t="inlineStr">
        <is>
          <t>NC-020</t>
        </is>
      </c>
      <c r="B72" s="20" t="inlineStr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</row>
    <row r="74" ht="22" customHeight="1">
      <c r="A74" s="3" t="inlineStr">
        <is>
          <t>📊 D. LAPORAN BULANAN PROGRAM (Template Isi Tiap Bulan)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/>
    </row>
    <row r="75" ht="26" customHeight="1">
      <c r="A75" s="6" t="inlineStr">
        <is>
          <t>Bulan</t>
        </is>
      </c>
      <c r="B75" s="7" t="inlineStr">
        <is>
          <t>Jml Anak
Aktif</t>
        </is>
      </c>
      <c r="C75" s="7" t="inlineStr">
        <is>
          <t>Absensi
Kelas (%)</t>
        </is>
      </c>
      <c r="D75" s="7" t="inlineStr">
        <is>
          <t>Panen
Kebun (kg)</t>
        </is>
      </c>
      <c r="E75" s="7" t="inlineStr">
        <is>
          <t>Telur
(butir/bln)</t>
        </is>
      </c>
      <c r="F75" s="7" t="inlineStr">
        <is>
          <t>Produk
Terjual</t>
        </is>
      </c>
      <c r="G75" s="7" t="inlineStr">
        <is>
          <t>Pendapatan
(Rp)</t>
        </is>
      </c>
      <c r="H75" s="7" t="inlineStr">
        <is>
          <t>Donasi
Masuk (Rp)</t>
        </is>
      </c>
      <c r="I75" s="7" t="inlineStr">
        <is>
          <t>Pengeluaran
(Rp)</t>
        </is>
      </c>
      <c r="J75" s="7" t="inlineStr">
        <is>
          <t>Saldo
(Rp)</t>
        </is>
      </c>
      <c r="K75" s="7" t="inlineStr">
        <is>
          <t>Highlight
Bulan Ini</t>
        </is>
      </c>
      <c r="L75" s="8" t="inlineStr">
        <is>
          <t>Update
Donatur</t>
        </is>
      </c>
    </row>
    <row r="76" ht="20" customHeight="1">
      <c r="A76" s="9" t="inlineStr">
        <is>
          <t>Jan 2025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22">
        <f>IFERROR(H76+G76-I76,"")</f>
        <v/>
      </c>
      <c r="K76" s="11" t="n"/>
      <c r="L76" s="11" t="n"/>
    </row>
    <row r="77" ht="20" customHeight="1">
      <c r="A77" s="9" t="inlineStr">
        <is>
          <t>Feb 2025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22">
        <f>IFERROR(H77+G77-I77,"")</f>
        <v/>
      </c>
      <c r="K77" s="10" t="n"/>
      <c r="L77" s="10" t="n"/>
    </row>
    <row r="78" ht="20" customHeight="1">
      <c r="A78" s="9" t="inlineStr">
        <is>
          <t>Mar 2025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22">
        <f>IFERROR(H78+G78-I78,"")</f>
        <v/>
      </c>
      <c r="K78" s="11" t="n"/>
      <c r="L78" s="11" t="n"/>
    </row>
    <row r="79" ht="20" customHeight="1">
      <c r="A79" s="9" t="inlineStr">
        <is>
          <t>Apr 2025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22">
        <f>IFERROR(H79+G79-I79,"")</f>
        <v/>
      </c>
      <c r="K79" s="10" t="n"/>
      <c r="L79" s="10" t="n"/>
    </row>
    <row r="80" ht="20" customHeight="1">
      <c r="A80" s="9" t="inlineStr">
        <is>
          <t>Mei 2025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22">
        <f>IFERROR(H80+G80-I80,"")</f>
        <v/>
      </c>
      <c r="K80" s="11" t="n"/>
      <c r="L80" s="11" t="n"/>
    </row>
    <row r="81" ht="20" customHeight="1">
      <c r="A81" s="9" t="inlineStr">
        <is>
          <t>Jun 2025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22">
        <f>IFERROR(H81+G81-I81,"")</f>
        <v/>
      </c>
      <c r="K81" s="10" t="n"/>
      <c r="L81" s="10" t="n"/>
    </row>
    <row r="82" ht="20" customHeight="1">
      <c r="A82" s="9" t="inlineStr">
        <is>
          <t>Jul 2025</t>
        </is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22">
        <f>IFERROR(H82+G82-I82,"")</f>
        <v/>
      </c>
      <c r="K82" s="11" t="n"/>
      <c r="L82" s="11" t="n"/>
    </row>
    <row r="83" ht="20" customHeight="1">
      <c r="A83" s="9" t="inlineStr">
        <is>
          <t>Agu 2025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22">
        <f>IFERROR(H83+G83-I83,"")</f>
        <v/>
      </c>
      <c r="K83" s="10" t="n"/>
      <c r="L83" s="10" t="n"/>
    </row>
    <row r="84" ht="20" customHeight="1">
      <c r="A84" s="9" t="inlineStr">
        <is>
          <t>Sep 2025</t>
        </is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22">
        <f>IFERROR(H84+G84-I84,"")</f>
        <v/>
      </c>
      <c r="K84" s="11" t="n"/>
      <c r="L84" s="11" t="n"/>
    </row>
    <row r="85" ht="20" customHeight="1">
      <c r="A85" s="9" t="inlineStr">
        <is>
          <t>Okt 2025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22">
        <f>IFERROR(H85+G85-I85,"")</f>
        <v/>
      </c>
      <c r="K85" s="10" t="n"/>
      <c r="L85" s="10" t="n"/>
    </row>
    <row r="86" ht="20" customHeight="1">
      <c r="A86" s="9" t="inlineStr">
        <is>
          <t>Nov 2025</t>
        </is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22">
        <f>IFERROR(H86+G86-I86,"")</f>
        <v/>
      </c>
      <c r="K86" s="11" t="n"/>
      <c r="L86" s="11" t="n"/>
    </row>
    <row r="87" ht="20" customHeight="1">
      <c r="A87" s="9" t="inlineStr">
        <is>
          <t>Des 2025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22">
        <f>IFERROR(H87+G87-I87,"")</f>
        <v/>
      </c>
      <c r="K87" s="10" t="n"/>
      <c r="L87" s="10" t="n"/>
    </row>
  </sheetData>
  <mergeCells count="7">
    <mergeCell ref="A2:L2"/>
    <mergeCell ref="A51:L51"/>
    <mergeCell ref="A28:L28"/>
    <mergeCell ref="A1:L1"/>
    <mergeCell ref="A74:L74"/>
    <mergeCell ref="A27:L2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2" customWidth="1" min="11" max="11"/>
    <col width="14" customWidth="1" min="12" max="12"/>
  </cols>
  <sheetData>
    <row r="1" ht="42" customHeight="1">
      <c r="A1" s="1" t="inlineStr">
        <is>
          <t>🤝 DATABASE RELAWAN &amp; MENTOR — NAWA CAHAYA</t>
        </is>
      </c>
    </row>
    <row r="2" ht="18" customHeight="1">
      <c r="A2" s="2" t="inlineStr">
        <is>
          <t>Daftar Relawan Aktif · Mentor Program · Status &amp; Jadwal · Terintegrasi Form Online</t>
        </is>
      </c>
    </row>
    <row r="4" ht="28" customHeight="1">
      <c r="A4" s="23" t="inlineStr">
        <is>
          <t xml:space="preserve">  🔗 LINK FORM PENDAFTARAN RELAWAN/MENTOR: [Paste URL Google Form / Apps Script di sini]  → Data otomatis masuk ke tabel ini via Apps Script.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5" t="n"/>
    </row>
    <row r="5" ht="22" customHeight="1">
      <c r="A5" s="3" t="inlineStr">
        <is>
          <t>📋 A. DATA RELAWAN &amp; MENTOR AKTIF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n"/>
    </row>
    <row r="6" ht="26" customHeight="1">
      <c r="A6" s="6" t="inlineStr">
        <is>
          <t>ID</t>
        </is>
      </c>
      <c r="B6" s="7" t="inlineStr">
        <is>
          <t>Nama Lengkap</t>
        </is>
      </c>
      <c r="C6" s="7" t="inlineStr">
        <is>
          <t>No. WhatsApp</t>
        </is>
      </c>
      <c r="D6" s="7" t="inlineStr">
        <is>
          <t>Email</t>
        </is>
      </c>
      <c r="E6" s="7" t="inlineStr">
        <is>
          <t>Instagram / Medsos</t>
        </is>
      </c>
      <c r="F6" s="7" t="inlineStr">
        <is>
          <t>Bidang Keahlian</t>
        </is>
      </c>
      <c r="G6" s="7" t="inlineStr">
        <is>
          <t>Instansi / Asal</t>
        </is>
      </c>
      <c r="H6" s="7" t="inlineStr">
        <is>
          <t>Tgl Bergabung</t>
        </is>
      </c>
      <c r="I6" s="7" t="inlineStr">
        <is>
          <t>Status</t>
        </is>
      </c>
      <c r="J6" s="7" t="inlineStr">
        <is>
          <t>Jenis</t>
        </is>
      </c>
      <c r="K6" s="7" t="inlineStr">
        <is>
          <t>Catatan / Kontrak</t>
        </is>
      </c>
      <c r="L6" s="8" t="inlineStr">
        <is>
          <t>Update</t>
        </is>
      </c>
    </row>
    <row r="7" ht="20" customHeight="1">
      <c r="A7" s="9" t="inlineStr">
        <is>
          <t>REL-001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20" customHeight="1">
      <c r="A8" s="9" t="inlineStr">
        <is>
          <t>REL-002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ht="20" customHeight="1">
      <c r="A9" s="9" t="inlineStr">
        <is>
          <t>REL-003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20" customHeight="1">
      <c r="A10" s="9" t="inlineStr">
        <is>
          <t>REL-004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 ht="20" customHeight="1">
      <c r="A11" s="9" t="inlineStr">
        <is>
          <t>REL-005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20" customHeight="1">
      <c r="A12" s="9" t="inlineStr">
        <is>
          <t>REL-006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20" customHeight="1">
      <c r="A13" s="9" t="inlineStr">
        <is>
          <t>REL-007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20" customHeight="1">
      <c r="A14" s="9" t="inlineStr">
        <is>
          <t>REL-008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20" customHeight="1">
      <c r="A15" s="9" t="inlineStr">
        <is>
          <t>REL-009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20" customHeight="1">
      <c r="A16" s="9" t="inlineStr">
        <is>
          <t>REL-010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 ht="20" customHeight="1">
      <c r="A17" s="9" t="inlineStr">
        <is>
          <t>REL-011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0" customHeight="1">
      <c r="A18" s="9" t="inlineStr">
        <is>
          <t>REL-012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 ht="20" customHeight="1">
      <c r="A19" s="9" t="inlineStr">
        <is>
          <t>REL-013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20" customHeight="1">
      <c r="A20" s="9" t="inlineStr">
        <is>
          <t>REL-014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 ht="20" customHeight="1">
      <c r="A21" s="9" t="inlineStr">
        <is>
          <t>REL-015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0" customHeight="1">
      <c r="A22" s="9" t="inlineStr">
        <is>
          <t>REL-016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0" customHeight="1">
      <c r="A23" s="9" t="inlineStr">
        <is>
          <t>REL-017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20" customHeight="1">
      <c r="A24" s="9" t="inlineStr">
        <is>
          <t>REL-018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 ht="20" customHeight="1">
      <c r="A25" s="9" t="inlineStr">
        <is>
          <t>REL-019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0" customHeight="1">
      <c r="A26" s="9" t="inlineStr">
        <is>
          <t>REL-020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 ht="20" customHeight="1">
      <c r="A27" s="9" t="inlineStr">
        <is>
          <t>REL-021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0" customHeight="1">
      <c r="A28" s="9" t="inlineStr">
        <is>
          <t>REL-022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 ht="20" customHeight="1">
      <c r="A29" s="9" t="inlineStr">
        <is>
          <t>REL-023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20" customHeight="1">
      <c r="A30" s="9" t="inlineStr">
        <is>
          <t>REL-024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 ht="20" customHeight="1">
      <c r="A31" s="9" t="inlineStr">
        <is>
          <t>REL-025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20" customHeight="1">
      <c r="A32" s="9" t="inlineStr">
        <is>
          <t>REL-026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 ht="20" customHeight="1">
      <c r="A33" s="9" t="inlineStr">
        <is>
          <t>REL-027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20" customHeight="1">
      <c r="A34" s="9" t="inlineStr">
        <is>
          <t>REL-028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 ht="20" customHeight="1">
      <c r="A35" s="9" t="inlineStr">
        <is>
          <t>REL-029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20" customHeight="1">
      <c r="A36" s="9" t="inlineStr">
        <is>
          <t>REL-030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8" ht="22" customHeight="1">
      <c r="A38" s="3" t="inlineStr">
        <is>
          <t>🎯 B. BIDANG RELAWAN / MENTOR YANG DIBUTUHKAN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 ht="26" customHeight="1">
      <c r="A39" s="26" t="inlineStr">
        <is>
          <t>No</t>
        </is>
      </c>
      <c r="B39" s="27" t="inlineStr">
        <is>
          <t>Bidang</t>
        </is>
      </c>
      <c r="C39" s="27" t="inlineStr">
        <is>
          <t>Deskripsi Tugas</t>
        </is>
      </c>
      <c r="D39" s="28" t="n"/>
      <c r="E39" s="28" t="n"/>
      <c r="F39" s="27" t="inlineStr">
        <is>
          <t>Jml Butuh</t>
        </is>
      </c>
      <c r="G39" s="27" t="inlineStr">
        <is>
          <t>Prioritas</t>
        </is>
      </c>
      <c r="H39" s="27" t="inlineStr">
        <is>
          <t>Catatan</t>
        </is>
      </c>
      <c r="I39" s="28" t="n"/>
      <c r="J39" s="28" t="n"/>
      <c r="K39" s="28" t="n"/>
      <c r="L39" s="29" t="n"/>
    </row>
    <row r="40" ht="22" customHeight="1">
      <c r="A40" s="30" t="n">
        <v>1</v>
      </c>
      <c r="B40" s="31" t="inlineStr">
        <is>
          <t>Pengajar / Tutor Paket C</t>
        </is>
      </c>
      <c r="C40" s="32" t="inlineStr">
        <is>
          <t>Mengajar Matematika, B.Indonesia, IPA, IPS</t>
        </is>
      </c>
      <c r="D40" s="4" t="n"/>
      <c r="E40" s="4" t="n"/>
      <c r="F40" s="33" t="n">
        <v>4</v>
      </c>
      <c r="G40" s="34" t="n">
        <v>0</v>
      </c>
      <c r="H40" s="35" t="inlineStr">
        <is>
          <t>★★★</t>
        </is>
      </c>
      <c r="I40" s="36" t="inlineStr">
        <is>
          <t>Jadwal malam 19:00–21:00, min S1</t>
        </is>
      </c>
      <c r="J40" s="4" t="n"/>
      <c r="K40" s="4" t="n"/>
      <c r="L40" s="5" t="n"/>
    </row>
    <row r="41" ht="22" customHeight="1">
      <c r="A41" s="37" t="n">
        <v>2</v>
      </c>
      <c r="B41" s="38" t="inlineStr">
        <is>
          <t>Psikolog / Konselor Anak</t>
        </is>
      </c>
      <c r="C41" s="39" t="inlineStr">
        <is>
          <t>Sesi konseling, assesment perkembangan anak</t>
        </is>
      </c>
      <c r="D41" s="4" t="n"/>
      <c r="E41" s="4" t="n"/>
      <c r="F41" s="33" t="n">
        <v>2</v>
      </c>
      <c r="G41" s="34" t="n">
        <v>0</v>
      </c>
      <c r="H41" s="35" t="inlineStr">
        <is>
          <t>★★★</t>
        </is>
      </c>
      <c r="I41" s="40" t="inlineStr">
        <is>
          <t>Min 1× seminggu on-site</t>
        </is>
      </c>
      <c r="J41" s="4" t="n"/>
      <c r="K41" s="4" t="n"/>
      <c r="L41" s="5" t="n"/>
    </row>
    <row r="42" ht="22" customHeight="1">
      <c r="A42" s="30" t="n">
        <v>3</v>
      </c>
      <c r="B42" s="31" t="inlineStr">
        <is>
          <t>Instruktur Pertanian Organik</t>
        </is>
      </c>
      <c r="C42" s="32" t="inlineStr">
        <is>
          <t>SOP bertanam natural, NO pestisida, hidroponik</t>
        </is>
      </c>
      <c r="D42" s="4" t="n"/>
      <c r="E42" s="4" t="n"/>
      <c r="F42" s="33" t="n">
        <v>2</v>
      </c>
      <c r="G42" s="34" t="n">
        <v>0</v>
      </c>
      <c r="H42" s="35" t="inlineStr">
        <is>
          <t>★★★</t>
        </is>
      </c>
      <c r="I42" s="36" t="inlineStr">
        <is>
          <t>Pengetahuan pertanian natural wajib</t>
        </is>
      </c>
      <c r="J42" s="4" t="n"/>
      <c r="K42" s="4" t="n"/>
      <c r="L42" s="5" t="n"/>
    </row>
    <row r="43" ht="22" customHeight="1">
      <c r="A43" s="37" t="n">
        <v>4</v>
      </c>
      <c r="B43" s="38" t="inlineStr">
        <is>
          <t>Instruktur Peternakan</t>
        </is>
      </c>
      <c r="C43" s="39" t="inlineStr">
        <is>
          <t>Sapi/kambing/ayam, kesehatan ternak, vaksin</t>
        </is>
      </c>
      <c r="D43" s="4" t="n"/>
      <c r="E43" s="4" t="n"/>
      <c r="F43" s="33" t="n">
        <v>1</v>
      </c>
      <c r="G43" s="34" t="n">
        <v>0</v>
      </c>
      <c r="H43" s="35" t="inlineStr">
        <is>
          <t>★★★</t>
        </is>
      </c>
      <c r="I43" s="40" t="inlineStr">
        <is>
          <t>Bisa koordinasi dgn Dinas Peternakan</t>
        </is>
      </c>
      <c r="J43" s="4" t="n"/>
      <c r="K43" s="4" t="n"/>
      <c r="L43" s="5" t="n"/>
    </row>
    <row r="44" ht="22" customHeight="1">
      <c r="A44" s="30" t="n">
        <v>5</v>
      </c>
      <c r="B44" s="31" t="inlineStr">
        <is>
          <t>IT / Digital Skills</t>
        </is>
      </c>
      <c r="C44" s="32" t="inlineStr">
        <is>
          <t>Mengajar MS Office, desain, coding dasar</t>
        </is>
      </c>
      <c r="D44" s="4" t="n"/>
      <c r="E44" s="4" t="n"/>
      <c r="F44" s="33" t="n">
        <v>2</v>
      </c>
      <c r="G44" s="34" t="n">
        <v>0</v>
      </c>
      <c r="H44" s="41" t="inlineStr">
        <is>
          <t>★★</t>
        </is>
      </c>
      <c r="I44" s="36" t="inlineStr">
        <is>
          <t>Weekend atau malam</t>
        </is>
      </c>
      <c r="J44" s="4" t="n"/>
      <c r="K44" s="4" t="n"/>
      <c r="L44" s="5" t="n"/>
    </row>
    <row r="45" ht="22" customHeight="1">
      <c r="A45" s="37" t="n">
        <v>6</v>
      </c>
      <c r="B45" s="38" t="inlineStr">
        <is>
          <t>Fotografi / Konten Media</t>
        </is>
      </c>
      <c r="C45" s="39" t="inlineStr">
        <is>
          <t>Dokumentasi kegiatan, konten IG/YouTube</t>
        </is>
      </c>
      <c r="D45" s="4" t="n"/>
      <c r="E45" s="4" t="n"/>
      <c r="F45" s="33" t="n">
        <v>1</v>
      </c>
      <c r="G45" s="34" t="n">
        <v>0</v>
      </c>
      <c r="H45" s="41" t="inlineStr">
        <is>
          <t>★★</t>
        </is>
      </c>
      <c r="I45" s="40" t="inlineStr">
        <is>
          <t>Content creator / fotografer</t>
        </is>
      </c>
      <c r="J45" s="4" t="n"/>
      <c r="K45" s="4" t="n"/>
      <c r="L45" s="5" t="n"/>
    </row>
    <row r="46" ht="22" customHeight="1">
      <c r="A46" s="30" t="n">
        <v>7</v>
      </c>
      <c r="B46" s="31" t="inlineStr">
        <is>
          <t>Skill Jahit / Kreatif</t>
        </is>
      </c>
      <c r="C46" s="32" t="inlineStr">
        <is>
          <t>Mengajar menjahit, kerajinan tangan, batik</t>
        </is>
      </c>
      <c r="D46" s="4" t="n"/>
      <c r="E46" s="4" t="n"/>
      <c r="F46" s="33" t="n">
        <v>1</v>
      </c>
      <c r="G46" s="34" t="n">
        <v>0</v>
      </c>
      <c r="H46" s="41" t="inlineStr">
        <is>
          <t>★★</t>
        </is>
      </c>
      <c r="I46" s="36" t="inlineStr">
        <is>
          <t>Bisa dari komunitas ibu-ibu lokal</t>
        </is>
      </c>
      <c r="J46" s="4" t="n"/>
      <c r="K46" s="4" t="n"/>
      <c r="L46" s="5" t="n"/>
    </row>
    <row r="47" ht="22" customHeight="1">
      <c r="A47" s="37" t="n">
        <v>8</v>
      </c>
      <c r="B47" s="38" t="inlineStr">
        <is>
          <t>Administrasi &amp; Keuangan</t>
        </is>
      </c>
      <c r="C47" s="39" t="inlineStr">
        <is>
          <t>Bantu pembukuan, laporan, Google Sheets</t>
        </is>
      </c>
      <c r="D47" s="4" t="n"/>
      <c r="E47" s="4" t="n"/>
      <c r="F47" s="33" t="n">
        <v>1</v>
      </c>
      <c r="G47" s="34" t="n">
        <v>0</v>
      </c>
      <c r="H47" s="41" t="inlineStr">
        <is>
          <t>★★</t>
        </is>
      </c>
      <c r="I47" s="40" t="inlineStr">
        <is>
          <t>Remote OK, 2× seminggu</t>
        </is>
      </c>
      <c r="J47" s="4" t="n"/>
      <c r="K47" s="4" t="n"/>
      <c r="L47" s="5" t="n"/>
    </row>
    <row r="48" ht="22" customHeight="1">
      <c r="A48" s="30" t="n">
        <v>9</v>
      </c>
      <c r="B48" s="31" t="inlineStr">
        <is>
          <t>Mentor Bisnis &amp; Wirausaha</t>
        </is>
      </c>
      <c r="C48" s="32" t="inlineStr">
        <is>
          <t>Kelas Junior CEO, rencana usaha</t>
        </is>
      </c>
      <c r="D48" s="4" t="n"/>
      <c r="E48" s="4" t="n"/>
      <c r="F48" s="33" t="n">
        <v>2</v>
      </c>
      <c r="G48" s="34" t="n">
        <v>0</v>
      </c>
      <c r="H48" s="41" t="inlineStr">
        <is>
          <t>★★</t>
        </is>
      </c>
      <c r="I48" s="36" t="inlineStr">
        <is>
          <t>Entrepreneur / profesional bisnis</t>
        </is>
      </c>
      <c r="J48" s="4" t="n"/>
      <c r="K48" s="4" t="n"/>
      <c r="L48" s="5" t="n"/>
    </row>
    <row r="49" ht="22" customHeight="1">
      <c r="A49" s="37" t="n">
        <v>10</v>
      </c>
      <c r="B49" s="38" t="inlineStr">
        <is>
          <t>Relawan Umum</t>
        </is>
      </c>
      <c r="C49" s="39" t="inlineStr">
        <is>
          <t>Bantu kegiatan harian, event, panen</t>
        </is>
      </c>
      <c r="D49" s="4" t="n"/>
      <c r="E49" s="4" t="n"/>
      <c r="F49" s="33" t="n">
        <v>10</v>
      </c>
      <c r="G49" s="34" t="n">
        <v>0</v>
      </c>
      <c r="H49" s="42" t="inlineStr">
        <is>
          <t>★</t>
        </is>
      </c>
      <c r="I49" s="40" t="inlineStr">
        <is>
          <t>Siapapun yang punya waktu &amp; niat</t>
        </is>
      </c>
      <c r="J49" s="4" t="n"/>
      <c r="K49" s="4" t="n"/>
      <c r="L49" s="5" t="n"/>
    </row>
    <row r="51" ht="22" customHeight="1">
      <c r="A51" s="3" t="inlineStr">
        <is>
          <t>📝 C. TEMPLATE PERJANJIAN RELAWAN / MENTOR (Isi &amp; Cetak)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/>
    </row>
    <row r="52" ht="22" customHeight="1">
      <c r="A52" s="43" t="inlineStr">
        <is>
          <t xml:space="preserve">  Gunakan template di bawah ini sebagai dasar MOU / Surat Kesepakatan Relawan. Isi data lalu cetak / kirim via email.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  <row r="53" ht="18" customHeight="1">
      <c r="A53" s="44" t="inlineStr">
        <is>
          <t>SURAT KESEPAKATAN RELAWAN / MENTOR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n"/>
    </row>
    <row r="54" ht="18" customHeight="1">
      <c r="A54" s="44" t="inlineStr">
        <is>
          <t>YAYASAN NAWA CAHAYA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/>
    </row>
    <row r="55" ht="18" customHeight="1">
      <c r="A55" s="45" t="inlineStr"/>
      <c r="B55" s="46" t="n"/>
      <c r="C55" s="47" t="inlineStr"/>
      <c r="D55" s="46" t="n"/>
      <c r="E55" s="46" t="n"/>
      <c r="F55" s="46" t="n"/>
      <c r="G55" s="47" t="inlineStr"/>
      <c r="H55" s="46" t="n"/>
      <c r="I55" s="46" t="n"/>
      <c r="J55" s="47" t="inlineStr"/>
      <c r="K55" s="46" t="n"/>
      <c r="L55" s="48" t="n"/>
    </row>
    <row r="56" ht="18" customHeight="1">
      <c r="A56" s="45" t="inlineStr">
        <is>
          <t>Yang bertanda tangan di bawah ini:</t>
        </is>
      </c>
      <c r="B56" s="46" t="n"/>
      <c r="C56" s="47" t="inlineStr"/>
      <c r="D56" s="46" t="n"/>
      <c r="E56" s="46" t="n"/>
      <c r="F56" s="46" t="n"/>
      <c r="G56" s="47" t="inlineStr"/>
      <c r="H56" s="46" t="n"/>
      <c r="I56" s="46" t="n"/>
      <c r="J56" s="47" t="inlineStr"/>
      <c r="K56" s="46" t="n"/>
      <c r="L56" s="48" t="n"/>
    </row>
    <row r="57" ht="18" customHeight="1">
      <c r="A57" s="45" t="inlineStr">
        <is>
          <t>Nama Relawan/Mentor :</t>
        </is>
      </c>
      <c r="B57" s="46" t="n"/>
      <c r="C57" s="47" t="inlineStr">
        <is>
          <t>[ISI NAMA]</t>
        </is>
      </c>
      <c r="D57" s="46" t="n"/>
      <c r="E57" s="46" t="n"/>
      <c r="F57" s="46" t="n"/>
      <c r="G57" s="47" t="inlineStr">
        <is>
          <t>Tanggal Mulai :</t>
        </is>
      </c>
      <c r="H57" s="46" t="n"/>
      <c r="I57" s="46" t="n"/>
      <c r="J57" s="47" t="inlineStr">
        <is>
          <t>[DD/MM/YYYY]</t>
        </is>
      </c>
      <c r="K57" s="46" t="n"/>
      <c r="L57" s="48" t="n"/>
    </row>
    <row r="58" ht="18" customHeight="1">
      <c r="A58" s="45" t="inlineStr">
        <is>
          <t>Bidang Keahlian :</t>
        </is>
      </c>
      <c r="B58" s="46" t="n"/>
      <c r="C58" s="47" t="inlineStr">
        <is>
          <t>[ISI BIDANG]</t>
        </is>
      </c>
      <c r="D58" s="46" t="n"/>
      <c r="E58" s="46" t="n"/>
      <c r="F58" s="46" t="n"/>
      <c r="G58" s="47" t="inlineStr">
        <is>
          <t>Durasi Komitmen :</t>
        </is>
      </c>
      <c r="H58" s="46" t="n"/>
      <c r="I58" s="46" t="n"/>
      <c r="J58" s="47" t="inlineStr">
        <is>
          <t>[X bulan / ongoing]</t>
        </is>
      </c>
      <c r="K58" s="46" t="n"/>
      <c r="L58" s="48" t="n"/>
    </row>
    <row r="59" ht="18" customHeight="1">
      <c r="A59" s="45" t="inlineStr">
        <is>
          <t>No. WhatsApp :</t>
        </is>
      </c>
      <c r="B59" s="46" t="n"/>
      <c r="C59" s="47" t="inlineStr">
        <is>
          <t>[ISI NOMOR]</t>
        </is>
      </c>
      <c r="D59" s="46" t="n"/>
      <c r="E59" s="46" t="n"/>
      <c r="F59" s="46" t="n"/>
      <c r="G59" s="47" t="inlineStr">
        <is>
          <t>Jadwal :</t>
        </is>
      </c>
      <c r="H59" s="46" t="n"/>
      <c r="I59" s="46" t="n"/>
      <c r="J59" s="47" t="inlineStr">
        <is>
          <t>[Hari &amp; Jam]</t>
        </is>
      </c>
      <c r="K59" s="46" t="n"/>
      <c r="L59" s="48" t="n"/>
    </row>
    <row r="60" ht="18" customHeight="1">
      <c r="A60" s="45" t="inlineStr"/>
      <c r="B60" s="46" t="n"/>
      <c r="C60" s="47" t="inlineStr"/>
      <c r="D60" s="46" t="n"/>
      <c r="E60" s="46" t="n"/>
      <c r="F60" s="46" t="n"/>
      <c r="G60" s="47" t="inlineStr"/>
      <c r="H60" s="46" t="n"/>
      <c r="I60" s="46" t="n"/>
      <c r="J60" s="47" t="inlineStr"/>
      <c r="K60" s="46" t="n"/>
      <c r="L60" s="48" t="n"/>
    </row>
    <row r="61" ht="18" customHeight="1">
      <c r="A61" s="49" t="inlineStr">
        <is>
          <t>KESEPAKATAN :</t>
        </is>
      </c>
      <c r="B61" s="46" t="n"/>
      <c r="C61" s="50" t="inlineStr"/>
      <c r="D61" s="46" t="n"/>
      <c r="E61" s="46" t="n"/>
      <c r="F61" s="46" t="n"/>
      <c r="G61" s="50" t="inlineStr"/>
      <c r="H61" s="46" t="n"/>
      <c r="I61" s="46" t="n"/>
      <c r="J61" s="50" t="inlineStr"/>
      <c r="K61" s="46" t="n"/>
      <c r="L61" s="48" t="n"/>
    </row>
    <row r="62" ht="18" customHeight="1">
      <c r="A62" s="45" t="inlineStr">
        <is>
          <t>1.</t>
        </is>
      </c>
      <c r="B62" s="46" t="n"/>
      <c r="C62" s="47" t="inlineStr">
        <is>
          <t>Relawan/Mentor berkomitmen menjalankan tugas sesuai bidang yang disepakati.</t>
        </is>
      </c>
      <c r="D62" s="46" t="n"/>
      <c r="E62" s="46" t="n"/>
      <c r="F62" s="46" t="n"/>
      <c r="G62" s="47" t="inlineStr"/>
      <c r="H62" s="46" t="n"/>
      <c r="I62" s="46" t="n"/>
      <c r="J62" s="47" t="inlineStr"/>
      <c r="K62" s="46" t="n"/>
      <c r="L62" s="48" t="n"/>
    </row>
    <row r="63" ht="18" customHeight="1">
      <c r="A63" s="45" t="inlineStr">
        <is>
          <t>2.</t>
        </is>
      </c>
      <c r="B63" s="46" t="n"/>
      <c r="C63" s="47" t="inlineStr">
        <is>
          <t>Setiap kegiatan didokumentasikan dan dilaporkan ke koordinator yayasan.</t>
        </is>
      </c>
      <c r="D63" s="46" t="n"/>
      <c r="E63" s="46" t="n"/>
      <c r="F63" s="46" t="n"/>
      <c r="G63" s="47" t="inlineStr"/>
      <c r="H63" s="46" t="n"/>
      <c r="I63" s="46" t="n"/>
      <c r="J63" s="47" t="inlineStr"/>
      <c r="K63" s="46" t="n"/>
      <c r="L63" s="48" t="n"/>
    </row>
    <row r="64" ht="18" customHeight="1">
      <c r="A64" s="45" t="inlineStr">
        <is>
          <t>3.</t>
        </is>
      </c>
      <c r="B64" s="46" t="n"/>
      <c r="C64" s="47" t="inlineStr">
        <is>
          <t>Relawan/Mentor menjaga kerahasiaan data anak binaan.</t>
        </is>
      </c>
      <c r="D64" s="46" t="n"/>
      <c r="E64" s="46" t="n"/>
      <c r="F64" s="46" t="n"/>
      <c r="G64" s="47" t="inlineStr"/>
      <c r="H64" s="46" t="n"/>
      <c r="I64" s="46" t="n"/>
      <c r="J64" s="47" t="inlineStr"/>
      <c r="K64" s="46" t="n"/>
      <c r="L64" s="48" t="n"/>
    </row>
    <row r="65" ht="18" customHeight="1">
      <c r="A65" s="45" t="inlineStr">
        <is>
          <t>4.</t>
        </is>
      </c>
      <c r="B65" s="46" t="n"/>
      <c r="C65" s="47" t="inlineStr">
        <is>
          <t>Yayasan memberikan sertifikat pengabdian setelah komitmen selesai.</t>
        </is>
      </c>
      <c r="D65" s="46" t="n"/>
      <c r="E65" s="46" t="n"/>
      <c r="F65" s="46" t="n"/>
      <c r="G65" s="47" t="inlineStr"/>
      <c r="H65" s="46" t="n"/>
      <c r="I65" s="46" t="n"/>
      <c r="J65" s="47" t="inlineStr"/>
      <c r="K65" s="46" t="n"/>
      <c r="L65" s="48" t="n"/>
    </row>
    <row r="66" ht="18" customHeight="1">
      <c r="A66" s="45" t="inlineStr">
        <is>
          <t>5.</t>
        </is>
      </c>
      <c r="B66" s="46" t="n"/>
      <c r="C66" s="47" t="inlineStr">
        <is>
          <t>Dapat diakhiri sewaktu-waktu dengan pemberitahuan 7 hari sebelumnya.</t>
        </is>
      </c>
      <c r="D66" s="46" t="n"/>
      <c r="E66" s="46" t="n"/>
      <c r="F66" s="46" t="n"/>
      <c r="G66" s="47" t="inlineStr"/>
      <c r="H66" s="46" t="n"/>
      <c r="I66" s="46" t="n"/>
      <c r="J66" s="47" t="inlineStr"/>
      <c r="K66" s="46" t="n"/>
      <c r="L66" s="48" t="n"/>
    </row>
    <row r="67" ht="18" customHeight="1">
      <c r="A67" s="45" t="inlineStr"/>
      <c r="B67" s="46" t="n"/>
      <c r="C67" s="47" t="inlineStr"/>
      <c r="D67" s="46" t="n"/>
      <c r="E67" s="46" t="n"/>
      <c r="F67" s="46" t="n"/>
      <c r="G67" s="47" t="inlineStr"/>
      <c r="H67" s="46" t="n"/>
      <c r="I67" s="46" t="n"/>
      <c r="J67" s="47" t="inlineStr"/>
      <c r="K67" s="46" t="n"/>
      <c r="L67" s="48" t="n"/>
    </row>
    <row r="68" ht="18" customHeight="1">
      <c r="A68" s="45" t="inlineStr">
        <is>
          <t>Bogor, _____________ 2025</t>
        </is>
      </c>
      <c r="B68" s="46" t="n"/>
      <c r="C68" s="47" t="inlineStr"/>
      <c r="D68" s="46" t="n"/>
      <c r="E68" s="46" t="n"/>
      <c r="F68" s="46" t="n"/>
      <c r="G68" s="47" t="inlineStr"/>
      <c r="H68" s="46" t="n"/>
      <c r="I68" s="46" t="n"/>
      <c r="J68" s="47" t="inlineStr"/>
      <c r="K68" s="46" t="n"/>
      <c r="L68" s="48" t="n"/>
    </row>
    <row r="69" ht="18" customHeight="1">
      <c r="A69" s="45" t="inlineStr"/>
      <c r="B69" s="46" t="n"/>
      <c r="C69" s="47" t="inlineStr"/>
      <c r="D69" s="46" t="n"/>
      <c r="E69" s="46" t="n"/>
      <c r="F69" s="46" t="n"/>
      <c r="G69" s="47" t="inlineStr"/>
      <c r="H69" s="46" t="n"/>
      <c r="I69" s="46" t="n"/>
      <c r="J69" s="47" t="inlineStr"/>
      <c r="K69" s="46" t="n"/>
      <c r="L69" s="48" t="n"/>
    </row>
    <row r="70" ht="18" customHeight="1">
      <c r="A70" s="45" t="inlineStr">
        <is>
          <t>Relawan / Mentor,</t>
        </is>
      </c>
      <c r="B70" s="46" t="n"/>
      <c r="C70" s="47" t="inlineStr"/>
      <c r="D70" s="46" t="n"/>
      <c r="E70" s="46" t="n"/>
      <c r="F70" s="46" t="n"/>
      <c r="G70" s="47" t="inlineStr">
        <is>
          <t>Ketua Yayasan,</t>
        </is>
      </c>
      <c r="H70" s="46" t="n"/>
      <c r="I70" s="46" t="n"/>
      <c r="J70" s="47" t="inlineStr"/>
      <c r="K70" s="46" t="n"/>
      <c r="L70" s="48" t="n"/>
    </row>
    <row r="71" ht="18" customHeight="1">
      <c r="A71" s="45" t="inlineStr"/>
      <c r="B71" s="46" t="n"/>
      <c r="C71" s="47" t="inlineStr"/>
      <c r="D71" s="46" t="n"/>
      <c r="E71" s="46" t="n"/>
      <c r="F71" s="46" t="n"/>
      <c r="G71" s="47" t="inlineStr"/>
      <c r="H71" s="46" t="n"/>
      <c r="I71" s="46" t="n"/>
      <c r="J71" s="47" t="inlineStr"/>
      <c r="K71" s="46" t="n"/>
      <c r="L71" s="48" t="n"/>
    </row>
    <row r="72" ht="18" customHeight="1">
      <c r="A72" s="45" t="inlineStr">
        <is>
          <t>( ________________________ )</t>
        </is>
      </c>
      <c r="B72" s="46" t="n"/>
      <c r="C72" s="47" t="inlineStr"/>
      <c r="D72" s="46" t="n"/>
      <c r="E72" s="46" t="n"/>
      <c r="F72" s="46" t="n"/>
      <c r="G72" s="47" t="inlineStr">
        <is>
          <t>( ________________________ )</t>
        </is>
      </c>
      <c r="H72" s="46" t="n"/>
      <c r="I72" s="46" t="n"/>
      <c r="J72" s="47" t="inlineStr"/>
      <c r="K72" s="46" t="n"/>
      <c r="L72" s="48" t="n"/>
    </row>
  </sheetData>
  <mergeCells count="103">
    <mergeCell ref="C44:E44"/>
    <mergeCell ref="I48:L48"/>
    <mergeCell ref="C61:F61"/>
    <mergeCell ref="A64:B64"/>
    <mergeCell ref="C40:E40"/>
    <mergeCell ref="G62:I62"/>
    <mergeCell ref="C72:F72"/>
    <mergeCell ref="A70:B70"/>
    <mergeCell ref="I40:L40"/>
    <mergeCell ref="G65:I65"/>
    <mergeCell ref="J66:L66"/>
    <mergeCell ref="C62:F62"/>
    <mergeCell ref="A56:B56"/>
    <mergeCell ref="G63:I63"/>
    <mergeCell ref="A52:L52"/>
    <mergeCell ref="C64:F64"/>
    <mergeCell ref="C49:E49"/>
    <mergeCell ref="J61:L61"/>
    <mergeCell ref="C63:F63"/>
    <mergeCell ref="J72:L72"/>
    <mergeCell ref="C42:E42"/>
    <mergeCell ref="A62:B62"/>
    <mergeCell ref="C56:F56"/>
    <mergeCell ref="A68:B68"/>
    <mergeCell ref="A59:B59"/>
    <mergeCell ref="I44:L44"/>
    <mergeCell ref="J65:L65"/>
    <mergeCell ref="G69:I69"/>
    <mergeCell ref="J70:L70"/>
    <mergeCell ref="C67:F67"/>
    <mergeCell ref="A61:B61"/>
    <mergeCell ref="C46:E46"/>
    <mergeCell ref="J63:L63"/>
    <mergeCell ref="C69:F69"/>
    <mergeCell ref="A5:L5"/>
    <mergeCell ref="C39:E39"/>
    <mergeCell ref="G55:I55"/>
    <mergeCell ref="C48:E48"/>
    <mergeCell ref="I46:L46"/>
    <mergeCell ref="G64:I64"/>
    <mergeCell ref="A4:L4"/>
    <mergeCell ref="A38:L38"/>
    <mergeCell ref="A71:B71"/>
    <mergeCell ref="G56:I56"/>
    <mergeCell ref="I41:L41"/>
    <mergeCell ref="J67:L67"/>
    <mergeCell ref="G71:I71"/>
    <mergeCell ref="A63:B63"/>
    <mergeCell ref="I43:L43"/>
    <mergeCell ref="J60:L60"/>
    <mergeCell ref="J69:L69"/>
    <mergeCell ref="C71:F71"/>
    <mergeCell ref="I42:L42"/>
    <mergeCell ref="G66:I66"/>
    <mergeCell ref="J55:L55"/>
    <mergeCell ref="C57:F57"/>
    <mergeCell ref="G68:I68"/>
    <mergeCell ref="C66:F66"/>
    <mergeCell ref="A69:B69"/>
    <mergeCell ref="A2:L2"/>
    <mergeCell ref="G58:I58"/>
    <mergeCell ref="A65:B65"/>
    <mergeCell ref="C68:F68"/>
    <mergeCell ref="J56:L56"/>
    <mergeCell ref="C58:F58"/>
    <mergeCell ref="I45:L45"/>
    <mergeCell ref="A55:B55"/>
    <mergeCell ref="J71:L71"/>
    <mergeCell ref="A57:B57"/>
    <mergeCell ref="J58:L58"/>
    <mergeCell ref="I47:L47"/>
    <mergeCell ref="C65:F65"/>
    <mergeCell ref="G72:I72"/>
    <mergeCell ref="J57:L57"/>
    <mergeCell ref="A51:L51"/>
    <mergeCell ref="G70:I70"/>
    <mergeCell ref="J59:L59"/>
    <mergeCell ref="A67:B67"/>
    <mergeCell ref="C60:F60"/>
    <mergeCell ref="J68:L68"/>
    <mergeCell ref="A54:L54"/>
    <mergeCell ref="C70:F70"/>
    <mergeCell ref="C41:E41"/>
    <mergeCell ref="G57:I57"/>
    <mergeCell ref="A60:B60"/>
    <mergeCell ref="C43:E43"/>
    <mergeCell ref="H39:L39"/>
    <mergeCell ref="A66:B66"/>
    <mergeCell ref="I49:L49"/>
    <mergeCell ref="A53:L53"/>
    <mergeCell ref="J62:L62"/>
    <mergeCell ref="G60:I60"/>
    <mergeCell ref="G59:I59"/>
    <mergeCell ref="C55:F55"/>
    <mergeCell ref="J64:L64"/>
    <mergeCell ref="A72:B72"/>
    <mergeCell ref="C45:E45"/>
    <mergeCell ref="G67:I67"/>
    <mergeCell ref="A1:L1"/>
    <mergeCell ref="G61:I61"/>
    <mergeCell ref="C59:F59"/>
    <mergeCell ref="A58:B58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9" customWidth="1" min="4" max="4"/>
    <col width="15" customWidth="1" min="5" max="5"/>
    <col width="15" customWidth="1" min="6" max="6"/>
    <col width="10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42" customHeight="1">
      <c r="A1" s="1" t="inlineStr">
        <is>
          <t>⚡ RAB LISTRIK, AIR &amp; ENERGI MANDIRI — NAWA CAHAYA</t>
        </is>
      </c>
    </row>
    <row r="2" ht="18" customHeight="1">
      <c r="A2" s="2" t="inlineStr">
        <is>
          <t>Generator · Solar Panel · Mikro-Hidro · Sumur · PDAM · Efisiensi Energi Jangka Panjang</t>
        </is>
      </c>
    </row>
    <row r="4" ht="22" customHeight="1">
      <c r="A4" s="3" t="inlineStr">
        <is>
          <t>⚡ A. PERBANDINGAN PILIHAN SISTEM ENERGI (Pilih Sesuai Kondisi Lahan)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 ht="26" customHeight="1">
      <c r="A5" s="51" t="inlineStr">
        <is>
          <t>Sistem</t>
        </is>
      </c>
      <c r="B5" s="52" t="inlineStr">
        <is>
          <t>Kapasitas</t>
        </is>
      </c>
      <c r="C5" s="52" t="inlineStr">
        <is>
          <t>Biaya Awal</t>
        </is>
      </c>
      <c r="D5" s="52" t="inlineStr">
        <is>
          <t>Biaya Ops/Bln</t>
        </is>
      </c>
      <c r="E5" s="52" t="inlineStr">
        <is>
          <t>Umur Pakai</t>
        </is>
      </c>
      <c r="F5" s="52" t="inlineStr">
        <is>
          <t>Kecocokan Lahan</t>
        </is>
      </c>
      <c r="G5" s="52" t="inlineStr">
        <is>
          <t>Rekomendasi</t>
        </is>
      </c>
      <c r="H5" s="52" t="inlineStr">
        <is>
          <t>Catatan</t>
        </is>
      </c>
      <c r="I5" s="53" t="n"/>
      <c r="J5" s="53" t="n"/>
      <c r="K5" s="53" t="n"/>
      <c r="L5" s="54" t="n"/>
    </row>
    <row r="6" ht="28" customHeight="1">
      <c r="A6" s="55" t="inlineStr">
        <is>
          <t>🔌 PLN (Sambungan Baru)</t>
        </is>
      </c>
      <c r="B6" s="56" t="inlineStr">
        <is>
          <t>900–3.300 VA</t>
        </is>
      </c>
      <c r="C6" s="57" t="n">
        <v>2500000</v>
      </c>
      <c r="D6" s="58" t="n">
        <v>400000</v>
      </c>
      <c r="E6" s="56" t="inlineStr">
        <is>
          <t>Permanen</t>
        </is>
      </c>
      <c r="F6" s="59" t="inlineStr">
        <is>
          <t>Semua lahan dekat jaringan PLN</t>
        </is>
      </c>
      <c r="G6" s="60" t="inlineStr">
        <is>
          <t>★★★ Ideal untuk awal</t>
        </is>
      </c>
      <c r="H6" s="61" t="inlineStr">
        <is>
          <t>Biaya sambung + meteran. Paling stabil. Minta daya 3.300VA untuk dapur + alat</t>
        </is>
      </c>
      <c r="I6" s="4" t="n"/>
      <c r="J6" s="4" t="n"/>
      <c r="K6" s="4" t="n"/>
      <c r="L6" s="5" t="n"/>
    </row>
    <row r="7" ht="28" customHeight="1">
      <c r="A7" s="62" t="inlineStr">
        <is>
          <t>🔋 Solar Panel Off-Grid</t>
        </is>
      </c>
      <c r="B7" s="34" t="inlineStr">
        <is>
          <t>1.000–2.000 Wp</t>
        </is>
      </c>
      <c r="C7" s="57" t="n">
        <v>18000000</v>
      </c>
      <c r="D7" s="58" t="n">
        <v>50000</v>
      </c>
      <c r="E7" s="34" t="inlineStr">
        <is>
          <t>20–25 thn</t>
        </is>
      </c>
      <c r="F7" s="63" t="inlineStr">
        <is>
          <t>Lahan terbuka, banyak sinar matahari</t>
        </is>
      </c>
      <c r="G7" s="60" t="inlineStr">
        <is>
          <t>★★★ Investasi terbaik</t>
        </is>
      </c>
      <c r="H7" s="64" t="inlineStr">
        <is>
          <t>Panel 4×250W + baterai 4×200Ah + inverter 2000W. BEP dalam 3–4 tahun</t>
        </is>
      </c>
      <c r="I7" s="4" t="n"/>
      <c r="J7" s="4" t="n"/>
      <c r="K7" s="4" t="n"/>
      <c r="L7" s="5" t="n"/>
    </row>
    <row r="8" ht="28" customHeight="1">
      <c r="A8" s="65" t="inlineStr">
        <is>
          <t>⛽ Genset Bensin 2.500W</t>
        </is>
      </c>
      <c r="B8" s="66" t="inlineStr">
        <is>
          <t>2.500 W</t>
        </is>
      </c>
      <c r="C8" s="57" t="n">
        <v>4500000</v>
      </c>
      <c r="D8" s="58" t="n">
        <v>800000</v>
      </c>
      <c r="E8" s="66" t="inlineStr">
        <is>
          <t>5–7 thn</t>
        </is>
      </c>
      <c r="F8" s="67" t="inlineStr">
        <is>
          <t>Backup / sementara</t>
        </is>
      </c>
      <c r="G8" s="68" t="inlineStr">
        <is>
          <t>★★ Backup saja</t>
        </is>
      </c>
      <c r="H8" s="69" t="inlineStr">
        <is>
          <t>Konsumsi 1L/jam = Rp 14rb/jam. Mahal jangka panjang. Bising. Hanya backup</t>
        </is>
      </c>
      <c r="I8" s="4" t="n"/>
      <c r="J8" s="4" t="n"/>
      <c r="K8" s="4" t="n"/>
      <c r="L8" s="5" t="n"/>
    </row>
    <row r="9" ht="28" customHeight="1">
      <c r="A9" s="70" t="inlineStr">
        <is>
          <t>⛽ Genset Diesel 5.000W</t>
        </is>
      </c>
      <c r="B9" s="71" t="inlineStr">
        <is>
          <t>5.000 W</t>
        </is>
      </c>
      <c r="C9" s="57" t="n">
        <v>9000000</v>
      </c>
      <c r="D9" s="58" t="n">
        <v>600000</v>
      </c>
      <c r="E9" s="71" t="inlineStr">
        <is>
          <t>8–10 thn</t>
        </is>
      </c>
      <c r="F9" s="72" t="inlineStr">
        <is>
          <t>Area tanpa PLN, kebutuhan besar</t>
        </is>
      </c>
      <c r="G9" s="68" t="inlineStr">
        <is>
          <t>★★ Backup / remote area</t>
        </is>
      </c>
      <c r="H9" s="73" t="inlineStr">
        <is>
          <t>Lebih hemat dari bensin. 0.7L/jam diesel. Lebih cocok untuk kapasitas besar</t>
        </is>
      </c>
      <c r="I9" s="4" t="n"/>
      <c r="J9" s="4" t="n"/>
      <c r="K9" s="4" t="n"/>
      <c r="L9" s="5" t="n"/>
    </row>
    <row r="10" ht="28" customHeight="1">
      <c r="A10" s="62" t="inlineStr">
        <is>
          <t>💧 Mikro-Hidro Turbin</t>
        </is>
      </c>
      <c r="B10" s="34" t="inlineStr">
        <is>
          <t>1.000–5.000 W</t>
        </is>
      </c>
      <c r="C10" s="57" t="n">
        <v>20000000</v>
      </c>
      <c r="D10" s="58" t="n">
        <v>0</v>
      </c>
      <c r="E10" s="34" t="inlineStr">
        <is>
          <t>20+ thn</t>
        </is>
      </c>
      <c r="F10" s="63" t="inlineStr">
        <is>
          <t>Ada sungai/saluran, head ≥3m, debit ≥50L/dtk</t>
        </is>
      </c>
      <c r="G10" s="60" t="inlineStr">
        <is>
          <t>★★★ Gratis selamanya!</t>
        </is>
      </c>
      <c r="H10" s="64" t="inlineStr">
        <is>
          <t>Survei hidrologi dulu wajib. Nol biaya ops. BEP 2–3 tahun. DIY bisa Rp 7–10jt</t>
        </is>
      </c>
      <c r="I10" s="4" t="n"/>
      <c r="J10" s="4" t="n"/>
      <c r="K10" s="4" t="n"/>
      <c r="L10" s="5" t="n"/>
    </row>
    <row r="11" ht="28" customHeight="1">
      <c r="A11" s="74" t="inlineStr">
        <is>
          <t>🌿 Biogas (kotoran ternak)</t>
        </is>
      </c>
      <c r="B11" s="75" t="inlineStr">
        <is>
          <t>1–2 kompor</t>
        </is>
      </c>
      <c r="C11" s="57" t="inlineStr">
        <is>
          <t>5000000</t>
        </is>
      </c>
      <c r="D11" s="58" t="n">
        <v>0</v>
      </c>
      <c r="E11" s="75" t="inlineStr">
        <is>
          <t>15+ thn</t>
        </is>
      </c>
      <c r="F11" s="76" t="inlineStr">
        <is>
          <t>Ada sapi/kambing minimal 3 ekor</t>
        </is>
      </c>
      <c r="G11" s="68" t="inlineStr">
        <is>
          <t>★★ Kompor gratis!</t>
        </is>
      </c>
      <c r="H11" s="77" t="inlineStr">
        <is>
          <t>Biodigester 2m³. 20kg kotoran/hari = 1 kompor 8 jam. Sisa = pupuk cair premium</t>
        </is>
      </c>
      <c r="I11" s="4" t="n"/>
      <c r="J11" s="4" t="n"/>
      <c r="K11" s="4" t="n"/>
      <c r="L11" s="5" t="n"/>
    </row>
    <row r="13" ht="22" customHeight="1">
      <c r="A13" s="3" t="inlineStr">
        <is>
          <t>☀️ B. RAB SOLAR PANEL OFF-GRID 1.500 Wp (Rekomendasi Fase 1)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22" customHeight="1">
      <c r="A14" s="12" t="inlineStr">
        <is>
          <t xml:space="preserve">  Sistem ini cukup untuk: 5 lampu LED + 2 charger HP + 1 kulkas kecil + pompa air 30 menit/hari. Tambah panel = tambah kapasitas. BEP vs PLN dalam 3 tahun.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26" customHeight="1">
      <c r="A15" s="6" t="inlineStr">
        <is>
          <t>No</t>
        </is>
      </c>
      <c r="B15" s="7" t="inlineStr">
        <is>
          <t>Item</t>
        </is>
      </c>
      <c r="C15" s="7" t="inlineStr">
        <is>
          <t>Vol</t>
        </is>
      </c>
      <c r="D15" s="7" t="inlineStr">
        <is>
          <t>Sat</t>
        </is>
      </c>
      <c r="E15" s="7" t="inlineStr">
        <is>
          <t>Harga Sat</t>
        </is>
      </c>
      <c r="F15" s="7" t="inlineStr">
        <is>
          <t>Total (Rp)</t>
        </is>
      </c>
      <c r="G15" s="7" t="inlineStr">
        <is>
          <t>Umur</t>
        </is>
      </c>
      <c r="H15" s="7" t="inlineStr">
        <is>
          <t>Catatan</t>
        </is>
      </c>
      <c r="I15" s="28" t="n"/>
      <c r="J15" s="28" t="n"/>
      <c r="K15" s="28" t="n"/>
      <c r="L15" s="29" t="n"/>
    </row>
    <row r="16" ht="22" customHeight="1">
      <c r="A16" s="78" t="n">
        <v>1</v>
      </c>
      <c r="B16" s="79" t="inlineStr">
        <is>
          <t>Panel surya 250Wp monocrystalline</t>
        </is>
      </c>
      <c r="C16" s="56" t="n">
        <v>6</v>
      </c>
      <c r="D16" s="80" t="inlineStr">
        <is>
          <t>unit</t>
        </is>
      </c>
      <c r="E16" s="81" t="n">
        <v>1500000</v>
      </c>
      <c r="F16" s="82" t="n">
        <v>9000000</v>
      </c>
      <c r="G16" s="80" t="inlineStr">
        <is>
          <t>25 thn</t>
        </is>
      </c>
      <c r="H16" s="61" t="inlineStr">
        <is>
          <t>6 panel = 1.500Wp. Pasang di atap atau tiang. Orientasi Utara-Selatan</t>
        </is>
      </c>
      <c r="I16" s="4" t="n"/>
      <c r="J16" s="4" t="n"/>
      <c r="K16" s="4" t="n"/>
      <c r="L16" s="5" t="n"/>
    </row>
    <row r="17" ht="22" customHeight="1">
      <c r="A17" s="83" t="n">
        <v>2</v>
      </c>
      <c r="B17" s="84" t="inlineStr">
        <is>
          <t>Baterai 200Ah deep cycle (gel/lithium)</t>
        </is>
      </c>
      <c r="C17" s="85" t="n">
        <v>4</v>
      </c>
      <c r="D17" s="86" t="inlineStr">
        <is>
          <t>unit</t>
        </is>
      </c>
      <c r="E17" s="81" t="n">
        <v>1800000</v>
      </c>
      <c r="F17" s="82" t="n">
        <v>7200000</v>
      </c>
      <c r="G17" s="86" t="inlineStr">
        <is>
          <t>5–7 thn</t>
        </is>
      </c>
      <c r="H17" s="87" t="inlineStr">
        <is>
          <t>4 baterai seri = 48V 200Ah. Simpan energi untuk malam. Lithium lebih awet</t>
        </is>
      </c>
      <c r="I17" s="4" t="n"/>
      <c r="J17" s="4" t="n"/>
      <c r="K17" s="4" t="n"/>
      <c r="L17" s="5" t="n"/>
    </row>
    <row r="18" ht="22" customHeight="1">
      <c r="A18" s="78" t="n">
        <v>3</v>
      </c>
      <c r="B18" s="79" t="inlineStr">
        <is>
          <t>Inverter 2.000W pure sine wave</t>
        </is>
      </c>
      <c r="C18" s="56" t="n">
        <v>1</v>
      </c>
      <c r="D18" s="80" t="inlineStr">
        <is>
          <t>unit</t>
        </is>
      </c>
      <c r="E18" s="81" t="n">
        <v>2500000</v>
      </c>
      <c r="F18" s="82" t="n">
        <v>2500000</v>
      </c>
      <c r="G18" s="80" t="inlineStr">
        <is>
          <t>8–10 thn</t>
        </is>
      </c>
      <c r="H18" s="61" t="inlineStr">
        <is>
          <t>Pure sine wave penting untuk laptop &amp; kulkas. Merk Growatt / Epever OK</t>
        </is>
      </c>
      <c r="I18" s="4" t="n"/>
      <c r="J18" s="4" t="n"/>
      <c r="K18" s="4" t="n"/>
      <c r="L18" s="5" t="n"/>
    </row>
    <row r="19" ht="22" customHeight="1">
      <c r="A19" s="83" t="n">
        <v>4</v>
      </c>
      <c r="B19" s="84" t="inlineStr">
        <is>
          <t>Solar Charge Controller MPPT 60A</t>
        </is>
      </c>
      <c r="C19" s="85" t="n">
        <v>1</v>
      </c>
      <c r="D19" s="86" t="inlineStr">
        <is>
          <t>unit</t>
        </is>
      </c>
      <c r="E19" s="81" t="n">
        <v>1200000</v>
      </c>
      <c r="F19" s="82" t="n">
        <v>1200000</v>
      </c>
      <c r="G19" s="86" t="inlineStr">
        <is>
          <t>8–10 thn</t>
        </is>
      </c>
      <c r="H19" s="87" t="inlineStr">
        <is>
          <t>MPPT lebih efisien dari PWM. Wajib untuk sistem baterai besar</t>
        </is>
      </c>
      <c r="I19" s="4" t="n"/>
      <c r="J19" s="4" t="n"/>
      <c r="K19" s="4" t="n"/>
      <c r="L19" s="5" t="n"/>
    </row>
    <row r="20" ht="22" customHeight="1">
      <c r="A20" s="78" t="n">
        <v>5</v>
      </c>
      <c r="B20" s="79" t="inlineStr">
        <is>
          <t>Kabel solar (6mm², UV resistant)</t>
        </is>
      </c>
      <c r="C20" s="56" t="n">
        <v>1</v>
      </c>
      <c r="D20" s="80" t="inlineStr">
        <is>
          <t>paket</t>
        </is>
      </c>
      <c r="E20" s="81" t="n">
        <v>800000</v>
      </c>
      <c r="F20" s="82" t="n">
        <v>800000</v>
      </c>
      <c r="G20" s="80" t="inlineStr">
        <is>
          <t>15+ thn</t>
        </is>
      </c>
      <c r="H20" s="61" t="inlineStr">
        <is>
          <t>Kabel khusus solar. Jangan pakai kabel biasa — bisa terbakar</t>
        </is>
      </c>
      <c r="I20" s="4" t="n"/>
      <c r="J20" s="4" t="n"/>
      <c r="K20" s="4" t="n"/>
      <c r="L20" s="5" t="n"/>
    </row>
    <row r="21" ht="22" customHeight="1">
      <c r="A21" s="83" t="n">
        <v>6</v>
      </c>
      <c r="B21" s="84" t="inlineStr">
        <is>
          <t>Mounting panel (bracket + besi siku)</t>
        </is>
      </c>
      <c r="C21" s="85" t="n">
        <v>1</v>
      </c>
      <c r="D21" s="86" t="inlineStr">
        <is>
          <t>set</t>
        </is>
      </c>
      <c r="E21" s="81" t="n">
        <v>1500000</v>
      </c>
      <c r="F21" s="82" t="n">
        <v>1500000</v>
      </c>
      <c r="G21" s="86" t="inlineStr">
        <is>
          <t>15+ thn</t>
        </is>
      </c>
      <c r="H21" s="87" t="inlineStr">
        <is>
          <t>Bisa rakit sendiri dari besi siku + mur baut. Hemat 50%</t>
        </is>
      </c>
      <c r="I21" s="4" t="n"/>
      <c r="J21" s="4" t="n"/>
      <c r="K21" s="4" t="n"/>
      <c r="L21" s="5" t="n"/>
    </row>
    <row r="22" ht="22" customHeight="1">
      <c r="A22" s="78" t="n">
        <v>7</v>
      </c>
      <c r="B22" s="79" t="inlineStr">
        <is>
          <t>Box panel + MCB + fuse + grounding</t>
        </is>
      </c>
      <c r="C22" s="56" t="n">
        <v>1</v>
      </c>
      <c r="D22" s="80" t="inlineStr">
        <is>
          <t>set</t>
        </is>
      </c>
      <c r="E22" s="81" t="n">
        <v>600000</v>
      </c>
      <c r="F22" s="82" t="n">
        <v>600000</v>
      </c>
      <c r="G22" s="80" t="inlineStr">
        <is>
          <t>10+ thn</t>
        </is>
      </c>
      <c r="H22" s="61" t="inlineStr">
        <is>
          <t>Proteksi sistem. Grounding wajib agar tidak korslet saat petir</t>
        </is>
      </c>
      <c r="I22" s="4" t="n"/>
      <c r="J22" s="4" t="n"/>
      <c r="K22" s="4" t="n"/>
      <c r="L22" s="5" t="n"/>
    </row>
    <row r="23" ht="22" customHeight="1">
      <c r="A23" s="83" t="n">
        <v>8</v>
      </c>
      <c r="B23" s="84" t="inlineStr">
        <is>
          <t>Jasa instalasi &amp; commissioning</t>
        </is>
      </c>
      <c r="C23" s="85" t="n">
        <v>1</v>
      </c>
      <c r="D23" s="86" t="inlineStr">
        <is>
          <t>paket</t>
        </is>
      </c>
      <c r="E23" s="81" t="n">
        <v>1500000</v>
      </c>
      <c r="F23" s="82" t="n">
        <v>1500000</v>
      </c>
      <c r="G23" s="86" t="inlineStr">
        <is>
          <t>—</t>
        </is>
      </c>
      <c r="H23" s="87" t="inlineStr">
        <is>
          <t>Teknisi lokal + testing semua komponen. Dokumentasi wiring diagram</t>
        </is>
      </c>
      <c r="I23" s="4" t="n"/>
      <c r="J23" s="4" t="n"/>
      <c r="K23" s="4" t="n"/>
      <c r="L23" s="5" t="n"/>
    </row>
    <row r="24" ht="22" customHeight="1">
      <c r="A24" s="88" t="inlineStr">
        <is>
          <t xml:space="preserve">  ▶ TOTAL SOLAR PANEL 1.500Wp</t>
        </is>
      </c>
      <c r="B24" s="53" t="n"/>
      <c r="C24" s="53" t="n"/>
      <c r="D24" s="53" t="n"/>
      <c r="E24" s="53" t="n"/>
      <c r="F24" s="89" t="n">
        <v>24300000</v>
      </c>
      <c r="G24" s="90" t="inlineStr">
        <is>
          <t>Bandingkan: PLN 3.300VA = Rp 400rb/bln × 36 bln = Rp 14,4jt. Solar BEP ±3.5 thn</t>
        </is>
      </c>
      <c r="H24" s="53" t="n"/>
      <c r="I24" s="53" t="n"/>
      <c r="J24" s="53" t="n"/>
      <c r="K24" s="53" t="n"/>
      <c r="L24" s="54" t="n"/>
    </row>
    <row r="26" ht="22" customHeight="1">
      <c r="A26" s="3" t="inlineStr">
        <is>
          <t>💧 C. SISTEM AIR BERSIH (Sumur Bor + Pompa + Distribusi)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/>
    </row>
    <row r="27" ht="26" customHeight="1">
      <c r="A27" s="6" t="inlineStr">
        <is>
          <t>No</t>
        </is>
      </c>
      <c r="B27" s="7" t="inlineStr">
        <is>
          <t>Item</t>
        </is>
      </c>
      <c r="C27" s="7" t="inlineStr">
        <is>
          <t>Vol</t>
        </is>
      </c>
      <c r="D27" s="7" t="inlineStr">
        <is>
          <t>Sat</t>
        </is>
      </c>
      <c r="E27" s="7" t="inlineStr">
        <is>
          <t>Harga Sat</t>
        </is>
      </c>
      <c r="F27" s="7" t="inlineStr">
        <is>
          <t>Total (Rp)</t>
        </is>
      </c>
      <c r="G27" s="7" t="inlineStr">
        <is>
          <t>Keterangan</t>
        </is>
      </c>
      <c r="H27" s="28" t="n"/>
      <c r="I27" s="28" t="n"/>
      <c r="J27" s="28" t="n"/>
      <c r="K27" s="28" t="n"/>
      <c r="L27" s="29" t="n"/>
    </row>
    <row r="28" ht="22" customHeight="1">
      <c r="A28" s="78" t="n">
        <v>1</v>
      </c>
      <c r="B28" s="59" t="inlineStr">
        <is>
          <t>Pengeboran sumur dalam (30–50m)</t>
        </is>
      </c>
      <c r="C28" s="56" t="n">
        <v>1</v>
      </c>
      <c r="D28" s="80" t="inlineStr">
        <is>
          <t>titik</t>
        </is>
      </c>
      <c r="E28" s="81" t="n">
        <v>8000000</v>
      </c>
      <c r="F28" s="82" t="n">
        <v>8000000</v>
      </c>
      <c r="G28" s="61" t="inlineStr">
        <is>
          <t>Tanah Bogor biasanya air &lt;25m. Gunakan jasa bor lokal. Minta garansi debit min 5L/dtk</t>
        </is>
      </c>
      <c r="H28" s="4" t="n"/>
      <c r="I28" s="4" t="n"/>
      <c r="J28" s="4" t="n"/>
      <c r="K28" s="4" t="n"/>
      <c r="L28" s="5" t="n"/>
    </row>
    <row r="29" ht="22" customHeight="1">
      <c r="A29" s="83" t="n">
        <v>2</v>
      </c>
      <c r="B29" s="91" t="inlineStr">
        <is>
          <t>Pompa submersible 0.5HP (deep well)</t>
        </is>
      </c>
      <c r="C29" s="85" t="n">
        <v>1</v>
      </c>
      <c r="D29" s="86" t="inlineStr">
        <is>
          <t>unit</t>
        </is>
      </c>
      <c r="E29" s="81" t="n">
        <v>2500000</v>
      </c>
      <c r="F29" s="82" t="n">
        <v>2500000</v>
      </c>
      <c r="G29" s="87" t="inlineStr">
        <is>
          <t>Dorong air dari sumur ke tandon. Grundfos atau Shimizu. Hemat listrik 370W</t>
        </is>
      </c>
      <c r="H29" s="4" t="n"/>
      <c r="I29" s="4" t="n"/>
      <c r="J29" s="4" t="n"/>
      <c r="K29" s="4" t="n"/>
      <c r="L29" s="5" t="n"/>
    </row>
    <row r="30" ht="22" customHeight="1">
      <c r="A30" s="78" t="n">
        <v>3</v>
      </c>
      <c r="B30" s="59" t="inlineStr">
        <is>
          <t>Tandon PE 2.000L (tower 4m)</t>
        </is>
      </c>
      <c r="C30" s="56" t="n">
        <v>2</v>
      </c>
      <c r="D30" s="80" t="inlineStr">
        <is>
          <t>unit</t>
        </is>
      </c>
      <c r="E30" s="81" t="n">
        <v>1800000</v>
      </c>
      <c r="F30" s="82" t="n">
        <v>3600000</v>
      </c>
      <c r="G30" s="61" t="inlineStr">
        <is>
          <t>Gravitasi distribusi ke semua titik. 2 tandon = cadangan 4.000L</t>
        </is>
      </c>
      <c r="H30" s="4" t="n"/>
      <c r="I30" s="4" t="n"/>
      <c r="J30" s="4" t="n"/>
      <c r="K30" s="4" t="n"/>
      <c r="L30" s="5" t="n"/>
    </row>
    <row r="31" ht="22" customHeight="1">
      <c r="A31" s="83" t="n">
        <v>4</v>
      </c>
      <c r="B31" s="91" t="inlineStr">
        <is>
          <t>Tower besi (4m, kapasitas 500kg)</t>
        </is>
      </c>
      <c r="C31" s="85" t="n">
        <v>1</v>
      </c>
      <c r="D31" s="86" t="inlineStr">
        <is>
          <t>unit</t>
        </is>
      </c>
      <c r="E31" s="81" t="n">
        <v>3500000</v>
      </c>
      <c r="F31" s="82" t="n">
        <v>3500000</v>
      </c>
      <c r="G31" s="87" t="inlineStr">
        <is>
          <t>Las lokal lebih murah. Atau pakai rangka bambu untuk Fase awal</t>
        </is>
      </c>
      <c r="H31" s="4" t="n"/>
      <c r="I31" s="4" t="n"/>
      <c r="J31" s="4" t="n"/>
      <c r="K31" s="4" t="n"/>
      <c r="L31" s="5" t="n"/>
    </row>
    <row r="32" ht="22" customHeight="1">
      <c r="A32" s="78" t="n">
        <v>5</v>
      </c>
      <c r="B32" s="59" t="inlineStr">
        <is>
          <t>Instalasi pipa PVC 3/4" ke semua titik</t>
        </is>
      </c>
      <c r="C32" s="56" t="n">
        <v>1</v>
      </c>
      <c r="D32" s="80" t="inlineStr">
        <is>
          <t>paket</t>
        </is>
      </c>
      <c r="E32" s="81" t="n">
        <v>4000000</v>
      </c>
      <c r="F32" s="82" t="n">
        <v>4000000</v>
      </c>
      <c r="G32" s="61" t="inlineStr">
        <is>
          <t>Dapur + kamar mandi + kebun. Pasang valve per zona</t>
        </is>
      </c>
      <c r="H32" s="4" t="n"/>
      <c r="I32" s="4" t="n"/>
      <c r="J32" s="4" t="n"/>
      <c r="K32" s="4" t="n"/>
      <c r="L32" s="5" t="n"/>
    </row>
    <row r="33" ht="22" customHeight="1">
      <c r="A33" s="83" t="n">
        <v>6</v>
      </c>
      <c r="B33" s="91" t="inlineStr">
        <is>
          <t>Filter air (sand filter + karbon aktif)</t>
        </is>
      </c>
      <c r="C33" s="85" t="n">
        <v>1</v>
      </c>
      <c r="D33" s="86" t="inlineStr">
        <is>
          <t>set</t>
        </is>
      </c>
      <c r="E33" s="81" t="n">
        <v>1500000</v>
      </c>
      <c r="F33" s="82" t="n">
        <v>1500000</v>
      </c>
      <c r="G33" s="87" t="inlineStr">
        <is>
          <t>Wajib! Air sumur Bogor kadang mengandung besi. Filter = air layak minum</t>
        </is>
      </c>
      <c r="H33" s="4" t="n"/>
      <c r="I33" s="4" t="n"/>
      <c r="J33" s="4" t="n"/>
      <c r="K33" s="4" t="n"/>
      <c r="L33" s="5" t="n"/>
    </row>
    <row r="34" ht="22" customHeight="1">
      <c r="A34" s="78" t="n">
        <v>7</v>
      </c>
      <c r="B34" s="59" t="inlineStr">
        <is>
          <t>Meteran air + pressure gauge</t>
        </is>
      </c>
      <c r="C34" s="56" t="n">
        <v>2</v>
      </c>
      <c r="D34" s="80" t="inlineStr">
        <is>
          <t>unit</t>
        </is>
      </c>
      <c r="E34" s="81" t="n">
        <v>200000</v>
      </c>
      <c r="F34" s="82" t="n">
        <v>400000</v>
      </c>
      <c r="G34" s="61" t="inlineStr">
        <is>
          <t>Pantau konsumsi air harian. Target &lt;2.000L/hari untuk 20 anak</t>
        </is>
      </c>
      <c r="H34" s="4" t="n"/>
      <c r="I34" s="4" t="n"/>
      <c r="J34" s="4" t="n"/>
      <c r="K34" s="4" t="n"/>
      <c r="L34" s="5" t="n"/>
    </row>
    <row r="35" ht="22" customHeight="1">
      <c r="A35" s="83" t="n">
        <v>8</v>
      </c>
      <c r="B35" s="91" t="inlineStr">
        <is>
          <t>Biaya uji kualitas air (lab)</t>
        </is>
      </c>
      <c r="C35" s="85" t="n">
        <v>1</v>
      </c>
      <c r="D35" s="86" t="inlineStr">
        <is>
          <t>sampel</t>
        </is>
      </c>
      <c r="E35" s="81" t="n">
        <v>500000</v>
      </c>
      <c r="F35" s="82" t="n">
        <v>500000</v>
      </c>
      <c r="G35" s="87" t="inlineStr">
        <is>
          <t>Uji pH, besi, bakteriologis. Lab Dinkes Bogor atau swasta</t>
        </is>
      </c>
      <c r="H35" s="4" t="n"/>
      <c r="I35" s="4" t="n"/>
      <c r="J35" s="4" t="n"/>
      <c r="K35" s="4" t="n"/>
      <c r="L35" s="5" t="n"/>
    </row>
    <row r="36" ht="22" customHeight="1">
      <c r="A36" s="92" t="inlineStr">
        <is>
          <t xml:space="preserve">  ▶ TOTAL SISTEM AIR BERSIH</t>
        </is>
      </c>
      <c r="B36" s="53" t="n"/>
      <c r="C36" s="53" t="n"/>
      <c r="D36" s="53" t="n"/>
      <c r="E36" s="53" t="n"/>
      <c r="F36" s="93" t="n">
        <v>24000000</v>
      </c>
      <c r="G36" s="94" t="inlineStr">
        <is>
          <t>Biaya PDAM Rp 150rb/bln. Sumur = investasi, bebas tagihan selamanya.</t>
        </is>
      </c>
      <c r="H36" s="53" t="n"/>
      <c r="I36" s="53" t="n"/>
      <c r="J36" s="53" t="n"/>
      <c r="K36" s="53" t="n"/>
      <c r="L36" s="54" t="n"/>
    </row>
    <row r="38" ht="22" customHeight="1">
      <c r="A38" s="3" t="inlineStr">
        <is>
          <t>📊 D. TRACKER KONSUMSI LISTRIK &amp; AIR BULANAN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 ht="26" customHeight="1">
      <c r="A39" s="6" t="inlineStr">
        <is>
          <t>Bulan</t>
        </is>
      </c>
      <c r="B39" s="7" t="inlineStr">
        <is>
          <t>kWh PLN</t>
        </is>
      </c>
      <c r="C39" s="7" t="inlineStr">
        <is>
          <t>Tagihan PLN
(Rp)</t>
        </is>
      </c>
      <c r="D39" s="7" t="inlineStr">
        <is>
          <t>Jam Genset</t>
        </is>
      </c>
      <c r="E39" s="7" t="inlineStr">
        <is>
          <t>BBM Genset
(Rp)</t>
        </is>
      </c>
      <c r="F39" s="7" t="inlineStr">
        <is>
          <t>Solar
Produksi (kWh)</t>
        </is>
      </c>
      <c r="G39" s="7" t="inlineStr">
        <is>
          <t>M³ Air</t>
        </is>
      </c>
      <c r="H39" s="7" t="inlineStr">
        <is>
          <t>Tagihan Air
(Rp)</t>
        </is>
      </c>
      <c r="I39" s="7" t="inlineStr">
        <is>
          <t>Total
Energi (Rp)</t>
        </is>
      </c>
      <c r="J39" s="7" t="inlineStr">
        <is>
          <t>Catatan
Efisiensi</t>
        </is>
      </c>
      <c r="K39" s="28" t="n"/>
      <c r="L39" s="29" t="n"/>
    </row>
    <row r="40" ht="18" customHeight="1">
      <c r="A40" s="9" t="inlineStr">
        <is>
          <t>Jan 2025</t>
        </is>
      </c>
      <c r="B40" s="95" t="n"/>
      <c r="C40" s="95" t="n"/>
      <c r="D40" s="95" t="n"/>
      <c r="E40" s="95" t="n"/>
      <c r="F40" s="95" t="n"/>
      <c r="G40" s="95" t="n"/>
      <c r="H40" s="95" t="n"/>
      <c r="I40" s="96">
        <f>IFERROR(C40+E40+H40,"")</f>
        <v/>
      </c>
      <c r="J40" s="95" t="n"/>
    </row>
    <row r="41" ht="18" customHeight="1">
      <c r="A41" s="9" t="inlineStr">
        <is>
          <t>Feb 2025</t>
        </is>
      </c>
      <c r="B41" s="10" t="n"/>
      <c r="C41" s="10" t="n"/>
      <c r="D41" s="10" t="n"/>
      <c r="E41" s="10" t="n"/>
      <c r="F41" s="10" t="n"/>
      <c r="G41" s="10" t="n"/>
      <c r="H41" s="10" t="n"/>
      <c r="I41" s="96">
        <f>IFERROR(C41+E41+H41,"")</f>
        <v/>
      </c>
      <c r="J41" s="10" t="n"/>
    </row>
    <row r="42" ht="18" customHeight="1">
      <c r="A42" s="9" t="inlineStr">
        <is>
          <t>Mar 2025</t>
        </is>
      </c>
      <c r="B42" s="95" t="n"/>
      <c r="C42" s="95" t="n"/>
      <c r="D42" s="95" t="n"/>
      <c r="E42" s="95" t="n"/>
      <c r="F42" s="95" t="n"/>
      <c r="G42" s="95" t="n"/>
      <c r="H42" s="95" t="n"/>
      <c r="I42" s="96">
        <f>IFERROR(C42+E42+H42,"")</f>
        <v/>
      </c>
      <c r="J42" s="95" t="n"/>
    </row>
    <row r="43" ht="18" customHeight="1">
      <c r="A43" s="9" t="inlineStr">
        <is>
          <t>Apr 2025</t>
        </is>
      </c>
      <c r="B43" s="10" t="n"/>
      <c r="C43" s="10" t="n"/>
      <c r="D43" s="10" t="n"/>
      <c r="E43" s="10" t="n"/>
      <c r="F43" s="10" t="n"/>
      <c r="G43" s="10" t="n"/>
      <c r="H43" s="10" t="n"/>
      <c r="I43" s="96">
        <f>IFERROR(C43+E43+H43,"")</f>
        <v/>
      </c>
      <c r="J43" s="10" t="n"/>
    </row>
    <row r="44" ht="18" customHeight="1">
      <c r="A44" s="9" t="inlineStr">
        <is>
          <t>Mei 2025</t>
        </is>
      </c>
      <c r="B44" s="95" t="n"/>
      <c r="C44" s="95" t="n"/>
      <c r="D44" s="95" t="n"/>
      <c r="E44" s="95" t="n"/>
      <c r="F44" s="95" t="n"/>
      <c r="G44" s="95" t="n"/>
      <c r="H44" s="95" t="n"/>
      <c r="I44" s="96">
        <f>IFERROR(C44+E44+H44,"")</f>
        <v/>
      </c>
      <c r="J44" s="95" t="n"/>
    </row>
    <row r="45" ht="18" customHeight="1">
      <c r="A45" s="9" t="inlineStr">
        <is>
          <t>Jun 2025</t>
        </is>
      </c>
      <c r="B45" s="10" t="n"/>
      <c r="C45" s="10" t="n"/>
      <c r="D45" s="10" t="n"/>
      <c r="E45" s="10" t="n"/>
      <c r="F45" s="10" t="n"/>
      <c r="G45" s="10" t="n"/>
      <c r="H45" s="10" t="n"/>
      <c r="I45" s="96">
        <f>IFERROR(C45+E45+H45,"")</f>
        <v/>
      </c>
      <c r="J45" s="10" t="n"/>
    </row>
    <row r="46" ht="18" customHeight="1">
      <c r="A46" s="9" t="inlineStr">
        <is>
          <t>Jul 2025</t>
        </is>
      </c>
      <c r="B46" s="95" t="n"/>
      <c r="C46" s="95" t="n"/>
      <c r="D46" s="95" t="n"/>
      <c r="E46" s="95" t="n"/>
      <c r="F46" s="95" t="n"/>
      <c r="G46" s="95" t="n"/>
      <c r="H46" s="95" t="n"/>
      <c r="I46" s="96">
        <f>IFERROR(C46+E46+H46,"")</f>
        <v/>
      </c>
      <c r="J46" s="95" t="n"/>
    </row>
    <row r="47" ht="18" customHeight="1">
      <c r="A47" s="9" t="inlineStr">
        <is>
          <t>Agu 2025</t>
        </is>
      </c>
      <c r="B47" s="10" t="n"/>
      <c r="C47" s="10" t="n"/>
      <c r="D47" s="10" t="n"/>
      <c r="E47" s="10" t="n"/>
      <c r="F47" s="10" t="n"/>
      <c r="G47" s="10" t="n"/>
      <c r="H47" s="10" t="n"/>
      <c r="I47" s="96">
        <f>IFERROR(C47+E47+H47,"")</f>
        <v/>
      </c>
      <c r="J47" s="10" t="n"/>
    </row>
    <row r="48" ht="18" customHeight="1">
      <c r="A48" s="9" t="inlineStr">
        <is>
          <t>Sep 2025</t>
        </is>
      </c>
      <c r="B48" s="95" t="n"/>
      <c r="C48" s="95" t="n"/>
      <c r="D48" s="95" t="n"/>
      <c r="E48" s="95" t="n"/>
      <c r="F48" s="95" t="n"/>
      <c r="G48" s="95" t="n"/>
      <c r="H48" s="95" t="n"/>
      <c r="I48" s="96">
        <f>IFERROR(C48+E48+H48,"")</f>
        <v/>
      </c>
      <c r="J48" s="95" t="n"/>
    </row>
    <row r="49" ht="18" customHeight="1">
      <c r="A49" s="9" t="inlineStr">
        <is>
          <t>Okt 2025</t>
        </is>
      </c>
      <c r="B49" s="10" t="n"/>
      <c r="C49" s="10" t="n"/>
      <c r="D49" s="10" t="n"/>
      <c r="E49" s="10" t="n"/>
      <c r="F49" s="10" t="n"/>
      <c r="G49" s="10" t="n"/>
      <c r="H49" s="10" t="n"/>
      <c r="I49" s="96">
        <f>IFERROR(C49+E49+H49,"")</f>
        <v/>
      </c>
      <c r="J49" s="10" t="n"/>
    </row>
    <row r="50" ht="18" customHeight="1">
      <c r="A50" s="9" t="inlineStr">
        <is>
          <t>Nov 2025</t>
        </is>
      </c>
      <c r="B50" s="95" t="n"/>
      <c r="C50" s="95" t="n"/>
      <c r="D50" s="95" t="n"/>
      <c r="E50" s="95" t="n"/>
      <c r="F50" s="95" t="n"/>
      <c r="G50" s="95" t="n"/>
      <c r="H50" s="95" t="n"/>
      <c r="I50" s="96">
        <f>IFERROR(C50+E50+H50,"")</f>
        <v/>
      </c>
      <c r="J50" s="95" t="n"/>
    </row>
    <row r="51" ht="18" customHeight="1">
      <c r="A51" s="9" t="inlineStr">
        <is>
          <t>Des 2025</t>
        </is>
      </c>
      <c r="B51" s="10" t="n"/>
      <c r="C51" s="10" t="n"/>
      <c r="D51" s="10" t="n"/>
      <c r="E51" s="10" t="n"/>
      <c r="F51" s="10" t="n"/>
      <c r="G51" s="10" t="n"/>
      <c r="H51" s="10" t="n"/>
      <c r="I51" s="96">
        <f>IFERROR(C51+E51+H51,"")</f>
        <v/>
      </c>
      <c r="J51" s="10" t="n"/>
    </row>
    <row r="53" ht="28" customHeight="1">
      <c r="A53" s="97" t="inlineStr">
        <is>
          <t xml:space="preserve">  🏆 TOTAL INVESTASI ENERGI &amp; AIR</t>
        </is>
      </c>
      <c r="B53" s="53" t="n"/>
      <c r="C53" s="53" t="n"/>
      <c r="D53" s="53" t="n"/>
      <c r="E53" s="53" t="n"/>
      <c r="F53" s="98" t="n">
        <v>48300000</v>
      </c>
      <c r="G53" s="99" t="inlineStr">
        <is>
          <t>Solar + Air Bersih. Hemat tagihan Rp 400rb–600rb/bln vs PLN+PDAM.</t>
        </is>
      </c>
      <c r="H53" s="53" t="n"/>
      <c r="I53" s="53" t="n"/>
      <c r="J53" s="53" t="n"/>
      <c r="K53" s="53" t="n"/>
      <c r="L53" s="54" t="n"/>
    </row>
  </sheetData>
  <mergeCells count="51">
    <mergeCell ref="J49:L49"/>
    <mergeCell ref="A24:E24"/>
    <mergeCell ref="J40:L40"/>
    <mergeCell ref="H20:L20"/>
    <mergeCell ref="G28:L28"/>
    <mergeCell ref="H10:L10"/>
    <mergeCell ref="J45:L45"/>
    <mergeCell ref="G53:L53"/>
    <mergeCell ref="A36:E36"/>
    <mergeCell ref="G34:L34"/>
    <mergeCell ref="G30:L30"/>
    <mergeCell ref="H9:L9"/>
    <mergeCell ref="A26:L26"/>
    <mergeCell ref="A2:L2"/>
    <mergeCell ref="G33:L33"/>
    <mergeCell ref="J41:L41"/>
    <mergeCell ref="G24:L24"/>
    <mergeCell ref="H21:L21"/>
    <mergeCell ref="H6:L6"/>
    <mergeCell ref="A14:L14"/>
    <mergeCell ref="J47:L47"/>
    <mergeCell ref="G35:L35"/>
    <mergeCell ref="J43:L43"/>
    <mergeCell ref="J50:L50"/>
    <mergeCell ref="G29:L29"/>
    <mergeCell ref="A4:L4"/>
    <mergeCell ref="A38:L38"/>
    <mergeCell ref="J46:L46"/>
    <mergeCell ref="H17:L17"/>
    <mergeCell ref="J51:L51"/>
    <mergeCell ref="H11:L11"/>
    <mergeCell ref="H7:L7"/>
    <mergeCell ref="G32:L32"/>
    <mergeCell ref="J42:L42"/>
    <mergeCell ref="H16:L16"/>
    <mergeCell ref="A13:L13"/>
    <mergeCell ref="G31:L31"/>
    <mergeCell ref="J39:L39"/>
    <mergeCell ref="J48:L48"/>
    <mergeCell ref="H19:L19"/>
    <mergeCell ref="H22:L22"/>
    <mergeCell ref="J44:L44"/>
    <mergeCell ref="A53:E53"/>
    <mergeCell ref="G27:L27"/>
    <mergeCell ref="G36:L36"/>
    <mergeCell ref="H15:L15"/>
    <mergeCell ref="A1:L1"/>
    <mergeCell ref="H18:L18"/>
    <mergeCell ref="H5:L5"/>
    <mergeCell ref="H23:L23"/>
    <mergeCell ref="H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🧠 PROGRAM PSIKOLOGI &amp; KELAS PENGEMBANGAN DIRI — NAWA CAHAYA</t>
        </is>
      </c>
    </row>
    <row r="2" ht="18" customHeight="1">
      <c r="A2" s="2" t="inlineStr">
        <is>
          <t>Konseling Individual · Terapi Kelompok · Kelas Karakter · Psikologi Perkembangan Anak</t>
        </is>
      </c>
    </row>
    <row r="4" ht="28" customHeight="1">
      <c r="A4" s="100" t="inlineStr">
        <is>
          <t xml:space="preserve">  💡 Program psikologi bukan terapi klinis penuh — melainkan pendampingan perkembangan karakter, pemulihan trauma ringan, dan pembentukan identitas positif. Minimal 1 psikolog/konselor anak per 15 anak binaan.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6" ht="22" customHeight="1">
      <c r="A6" s="101" t="inlineStr">
        <is>
          <t>📅 A. JADWAL PROGRAM MINGGUAN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6" customHeight="1">
      <c r="A7" s="102" t="inlineStr">
        <is>
          <t>Hari</t>
        </is>
      </c>
      <c r="B7" s="103" t="inlineStr">
        <is>
          <t>Waktu</t>
        </is>
      </c>
      <c r="C7" s="103" t="inlineStr">
        <is>
          <t>Program</t>
        </is>
      </c>
      <c r="D7" s="103" t="inlineStr">
        <is>
          <t>Fasilitator</t>
        </is>
      </c>
      <c r="E7" s="103" t="inlineStr">
        <is>
          <t>Target Anak</t>
        </is>
      </c>
      <c r="F7" s="103" t="inlineStr">
        <is>
          <t>Metode</t>
        </is>
      </c>
      <c r="G7" s="103" t="inlineStr">
        <is>
          <t>Materi Inti</t>
        </is>
      </c>
      <c r="H7" s="103" t="inlineStr">
        <is>
          <t>Output / Target</t>
        </is>
      </c>
      <c r="I7" s="28" t="n"/>
      <c r="J7" s="28" t="n"/>
      <c r="K7" s="28" t="n"/>
      <c r="L7" s="29" t="n"/>
    </row>
    <row r="8" ht="24" customHeight="1">
      <c r="A8" s="104" t="inlineStr">
        <is>
          <t>Senin</t>
        </is>
      </c>
      <c r="B8" s="80" t="inlineStr">
        <is>
          <t>16:00–17:00</t>
        </is>
      </c>
      <c r="C8" s="105" t="inlineStr">
        <is>
          <t>Sesi Kelompok — Cerita &amp; Ekspresi</t>
        </is>
      </c>
      <c r="D8" s="106" t="inlineStr">
        <is>
          <t>Konselor/Relawan</t>
        </is>
      </c>
      <c r="E8" s="107" t="inlineStr">
        <is>
          <t>Semua</t>
        </is>
      </c>
      <c r="F8" s="106" t="inlineStr">
        <is>
          <t>Storytelling + Art therapy</t>
        </is>
      </c>
      <c r="G8" s="106" t="inlineStr">
        <is>
          <t>Ekspresi perasaan, kepercayaan diri</t>
        </is>
      </c>
      <c r="H8" s="108" t="inlineStr">
        <is>
          <t>Anak mampu mengungkapkan emosi</t>
        </is>
      </c>
      <c r="I8" s="4" t="n"/>
      <c r="J8" s="4" t="n"/>
      <c r="K8" s="4" t="n"/>
      <c r="L8" s="5" t="n"/>
    </row>
    <row r="9" ht="24" customHeight="1">
      <c r="A9" s="109" t="inlineStr">
        <is>
          <t>Selasa</t>
        </is>
      </c>
      <c r="B9" s="110" t="inlineStr">
        <is>
          <t>19:30–20:30</t>
        </is>
      </c>
      <c r="C9" s="111" t="inlineStr">
        <is>
          <t>Kelas Karakter — Integritas &amp; Tanggung Jawab</t>
        </is>
      </c>
      <c r="D9" s="112" t="inlineStr">
        <is>
          <t>Mentor/Founder</t>
        </is>
      </c>
      <c r="E9" s="86" t="inlineStr">
        <is>
          <t>Semua</t>
        </is>
      </c>
      <c r="F9" s="112" t="inlineStr">
        <is>
          <t>Diskusi kasus nyata + role play</t>
        </is>
      </c>
      <c r="G9" s="112" t="inlineStr">
        <is>
          <t>Nilai-nilai hidup, etika, kejujuran</t>
        </is>
      </c>
      <c r="H9" s="87" t="inlineStr">
        <is>
          <t>Karakter kuat, bisa dipercaya</t>
        </is>
      </c>
      <c r="I9" s="4" t="n"/>
      <c r="J9" s="4" t="n"/>
      <c r="K9" s="4" t="n"/>
      <c r="L9" s="5" t="n"/>
    </row>
    <row r="10" ht="24" customHeight="1">
      <c r="A10" s="113" t="inlineStr">
        <is>
          <t>Rabu</t>
        </is>
      </c>
      <c r="B10" s="114" t="inlineStr">
        <is>
          <t>15:00–16:00</t>
        </is>
      </c>
      <c r="C10" s="105" t="inlineStr">
        <is>
          <t>Konseling Individual (jadwal bergantian)</t>
        </is>
      </c>
      <c r="D10" s="106" t="inlineStr">
        <is>
          <t>Psikolog/Konselor</t>
        </is>
      </c>
      <c r="E10" s="107" t="inlineStr">
        <is>
          <t>2–3 anak/sesi</t>
        </is>
      </c>
      <c r="F10" s="106" t="inlineStr">
        <is>
          <t>1-on-1, confidential</t>
        </is>
      </c>
      <c r="G10" s="106" t="inlineStr">
        <is>
          <t>Masalah personal, target hidup</t>
        </is>
      </c>
      <c r="H10" s="108" t="inlineStr">
        <is>
          <t>Resolusi isu, rencana ke depan</t>
        </is>
      </c>
      <c r="I10" s="4" t="n"/>
      <c r="J10" s="4" t="n"/>
      <c r="K10" s="4" t="n"/>
      <c r="L10" s="5" t="n"/>
    </row>
    <row r="11" ht="24" customHeight="1">
      <c r="A11" s="115" t="inlineStr">
        <is>
          <t>Kamis</t>
        </is>
      </c>
      <c r="B11" s="116" t="inlineStr">
        <is>
          <t>19:30–20:30</t>
        </is>
      </c>
      <c r="C11" s="111" t="inlineStr">
        <is>
          <t>Kelas Junior CEO — Mindset Wirausaha</t>
        </is>
      </c>
      <c r="D11" s="112" t="inlineStr">
        <is>
          <t>Mentor Bisnis</t>
        </is>
      </c>
      <c r="E11" s="86" t="inlineStr">
        <is>
          <t>Anak 15thn+</t>
        </is>
      </c>
      <c r="F11" s="112" t="inlineStr">
        <is>
          <t>Presentasi + simulasi usaha</t>
        </is>
      </c>
      <c r="G11" s="112" t="inlineStr">
        <is>
          <t>Keuangan dasar, ide bisnis, pitch</t>
        </is>
      </c>
      <c r="H11" s="87" t="inlineStr">
        <is>
          <t>Punya rencana usaha sendiri</t>
        </is>
      </c>
      <c r="I11" s="4" t="n"/>
      <c r="J11" s="4" t="n"/>
      <c r="K11" s="4" t="n"/>
      <c r="L11" s="5" t="n"/>
    </row>
    <row r="12" ht="24" customHeight="1">
      <c r="A12" s="117" t="inlineStr">
        <is>
          <t>Jumat</t>
        </is>
      </c>
      <c r="B12" s="107" t="inlineStr">
        <is>
          <t>15:00–17:00</t>
        </is>
      </c>
      <c r="C12" s="105" t="inlineStr">
        <is>
          <t>Outdoor Activity + Refleksi</t>
        </is>
      </c>
      <c r="D12" s="106" t="inlineStr">
        <is>
          <t>Semua Tim</t>
        </is>
      </c>
      <c r="E12" s="107" t="inlineStr">
        <is>
          <t>Semua</t>
        </is>
      </c>
      <c r="F12" s="106" t="inlineStr">
        <is>
          <t>Kegiatan lapangan + jurnal</t>
        </is>
      </c>
      <c r="G12" s="106" t="inlineStr">
        <is>
          <t>Syukur, kerja sama, leadership</t>
        </is>
      </c>
      <c r="H12" s="108" t="inlineStr">
        <is>
          <t>Team bonding, jurnal refleksi</t>
        </is>
      </c>
      <c r="I12" s="4" t="n"/>
      <c r="J12" s="4" t="n"/>
      <c r="K12" s="4" t="n"/>
      <c r="L12" s="5" t="n"/>
    </row>
    <row r="13" ht="24" customHeight="1">
      <c r="A13" s="118" t="inlineStr">
        <is>
          <t>Sabtu</t>
        </is>
      </c>
      <c r="B13" s="119" t="inlineStr">
        <is>
          <t>09:00–11:00</t>
        </is>
      </c>
      <c r="C13" s="111" t="inlineStr">
        <is>
          <t>Workshop Skill (rotasi: jahit/IT/tani)</t>
        </is>
      </c>
      <c r="D13" s="112" t="inlineStr">
        <is>
          <t>Instruktur Skill</t>
        </is>
      </c>
      <c r="E13" s="86" t="inlineStr">
        <is>
          <t>Semua</t>
        </is>
      </c>
      <c r="F13" s="112" t="inlineStr">
        <is>
          <t>Praktek langsung</t>
        </is>
      </c>
      <c r="G13" s="112" t="inlineStr">
        <is>
          <t>Skill spesifik per modul</t>
        </is>
      </c>
      <c r="H13" s="87" t="inlineStr">
        <is>
          <t>Sertifikat penguasaan skill</t>
        </is>
      </c>
      <c r="I13" s="4" t="n"/>
      <c r="J13" s="4" t="n"/>
      <c r="K13" s="4" t="n"/>
      <c r="L13" s="5" t="n"/>
    </row>
    <row r="14" ht="24" customHeight="1">
      <c r="A14" s="120" t="inlineStr">
        <is>
          <t>Minggu</t>
        </is>
      </c>
      <c r="B14" s="121" t="inlineStr">
        <is>
          <t>09:00–10:00</t>
        </is>
      </c>
      <c r="C14" s="105" t="inlineStr">
        <is>
          <t>Ibadah &amp; Refleksi Spiritual</t>
        </is>
      </c>
      <c r="D14" s="106" t="inlineStr">
        <is>
          <t>Terbuka</t>
        </is>
      </c>
      <c r="E14" s="107" t="inlineStr">
        <is>
          <t>Semua</t>
        </is>
      </c>
      <c r="F14" s="106" t="inlineStr">
        <is>
          <t>Sharing &amp; doa</t>
        </is>
      </c>
      <c r="G14" s="106" t="inlineStr">
        <is>
          <t>Syukur, nilai spiritual, harapan</t>
        </is>
      </c>
      <c r="H14" s="108" t="inlineStr">
        <is>
          <t>Fondasi spiritual yang kuat</t>
        </is>
      </c>
      <c r="I14" s="4" t="n"/>
      <c r="J14" s="4" t="n"/>
      <c r="K14" s="4" t="n"/>
      <c r="L14" s="5" t="n"/>
    </row>
    <row r="16" ht="22" customHeight="1">
      <c r="A16" s="101" t="inlineStr">
        <is>
          <t>📋 B. TRACKER SESI KONSELING INDIVIDUAL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 ht="26" customHeight="1">
      <c r="A17" s="102" t="inlineStr">
        <is>
          <t>Tgl Sesi</t>
        </is>
      </c>
      <c r="B17" s="103" t="inlineStr">
        <is>
          <t>ID Anak</t>
        </is>
      </c>
      <c r="C17" s="103" t="inlineStr">
        <is>
          <t>Nama</t>
        </is>
      </c>
      <c r="D17" s="103" t="inlineStr">
        <is>
          <t>Konselor</t>
        </is>
      </c>
      <c r="E17" s="103" t="inlineStr">
        <is>
          <t>Topik/Isu</t>
        </is>
      </c>
      <c r="F17" s="103" t="inlineStr">
        <is>
          <t>Observasi</t>
        </is>
      </c>
      <c r="G17" s="103" t="inlineStr">
        <is>
          <t>Rekomendasi</t>
        </is>
      </c>
      <c r="H17" s="103" t="inlineStr">
        <is>
          <t>Follow-up</t>
        </is>
      </c>
      <c r="I17" s="103" t="inlineStr">
        <is>
          <t>Status</t>
        </is>
      </c>
      <c r="J17" s="103" t="inlineStr">
        <is>
          <t>Catatan Rahasia
(Internal)</t>
        </is>
      </c>
      <c r="K17" s="28" t="n"/>
      <c r="L17" s="29" t="n"/>
    </row>
    <row r="18" ht="20" customHeight="1">
      <c r="A18" s="122" t="inlineStr"/>
      <c r="B18" s="13" t="inlineStr">
        <is>
          <t>NC-001</t>
        </is>
      </c>
      <c r="C18" s="10" t="n"/>
      <c r="D18" s="10" t="n"/>
      <c r="E18" s="10" t="n"/>
      <c r="F18" s="10" t="n"/>
      <c r="G18" s="10" t="n"/>
      <c r="H18" s="10" t="n"/>
      <c r="I18" s="10" t="n"/>
      <c r="J18" s="123" t="n"/>
    </row>
    <row r="19" ht="20" customHeight="1">
      <c r="A19" s="124" t="inlineStr"/>
      <c r="B19" s="13" t="inlineStr">
        <is>
          <t>NC-002</t>
        </is>
      </c>
      <c r="C19" s="125" t="n"/>
      <c r="D19" s="125" t="n"/>
      <c r="E19" s="125" t="n"/>
      <c r="F19" s="125" t="n"/>
      <c r="G19" s="125" t="n"/>
      <c r="H19" s="125" t="n"/>
      <c r="I19" s="125" t="n"/>
      <c r="J19" s="123" t="n"/>
    </row>
    <row r="20" ht="20" customHeight="1">
      <c r="A20" s="122" t="inlineStr"/>
      <c r="B20" s="13" t="inlineStr">
        <is>
          <t>NC-003</t>
        </is>
      </c>
      <c r="C20" s="10" t="n"/>
      <c r="D20" s="10" t="n"/>
      <c r="E20" s="10" t="n"/>
      <c r="F20" s="10" t="n"/>
      <c r="G20" s="10" t="n"/>
      <c r="H20" s="10" t="n"/>
      <c r="I20" s="10" t="n"/>
      <c r="J20" s="123" t="n"/>
    </row>
    <row r="21" ht="20" customHeight="1">
      <c r="A21" s="124" t="inlineStr"/>
      <c r="B21" s="13" t="inlineStr">
        <is>
          <t>NC-004</t>
        </is>
      </c>
      <c r="C21" s="125" t="n"/>
      <c r="D21" s="125" t="n"/>
      <c r="E21" s="125" t="n"/>
      <c r="F21" s="125" t="n"/>
      <c r="G21" s="125" t="n"/>
      <c r="H21" s="125" t="n"/>
      <c r="I21" s="125" t="n"/>
      <c r="J21" s="123" t="n"/>
    </row>
    <row r="22" ht="20" customHeight="1">
      <c r="A22" s="122" t="inlineStr"/>
      <c r="B22" s="13" t="inlineStr">
        <is>
          <t>NC-005</t>
        </is>
      </c>
      <c r="C22" s="10" t="n"/>
      <c r="D22" s="10" t="n"/>
      <c r="E22" s="10" t="n"/>
      <c r="F22" s="10" t="n"/>
      <c r="G22" s="10" t="n"/>
      <c r="H22" s="10" t="n"/>
      <c r="I22" s="10" t="n"/>
      <c r="J22" s="123" t="n"/>
    </row>
    <row r="23" ht="20" customHeight="1">
      <c r="A23" s="124" t="inlineStr"/>
      <c r="B23" s="13" t="inlineStr">
        <is>
          <t>NC-006</t>
        </is>
      </c>
      <c r="C23" s="125" t="n"/>
      <c r="D23" s="125" t="n"/>
      <c r="E23" s="125" t="n"/>
      <c r="F23" s="125" t="n"/>
      <c r="G23" s="125" t="n"/>
      <c r="H23" s="125" t="n"/>
      <c r="I23" s="125" t="n"/>
      <c r="J23" s="123" t="n"/>
    </row>
    <row r="24" ht="20" customHeight="1">
      <c r="A24" s="122" t="inlineStr"/>
      <c r="B24" s="13" t="inlineStr">
        <is>
          <t>NC-007</t>
        </is>
      </c>
      <c r="C24" s="10" t="n"/>
      <c r="D24" s="10" t="n"/>
      <c r="E24" s="10" t="n"/>
      <c r="F24" s="10" t="n"/>
      <c r="G24" s="10" t="n"/>
      <c r="H24" s="10" t="n"/>
      <c r="I24" s="10" t="n"/>
      <c r="J24" s="123" t="n"/>
    </row>
    <row r="25" ht="20" customHeight="1">
      <c r="A25" s="124" t="inlineStr"/>
      <c r="B25" s="13" t="inlineStr">
        <is>
          <t>NC-008</t>
        </is>
      </c>
      <c r="C25" s="125" t="n"/>
      <c r="D25" s="125" t="n"/>
      <c r="E25" s="125" t="n"/>
      <c r="F25" s="125" t="n"/>
      <c r="G25" s="125" t="n"/>
      <c r="H25" s="125" t="n"/>
      <c r="I25" s="125" t="n"/>
      <c r="J25" s="123" t="n"/>
    </row>
    <row r="26" ht="20" customHeight="1">
      <c r="A26" s="122" t="inlineStr"/>
      <c r="B26" s="13" t="inlineStr">
        <is>
          <t>NC-009</t>
        </is>
      </c>
      <c r="C26" s="10" t="n"/>
      <c r="D26" s="10" t="n"/>
      <c r="E26" s="10" t="n"/>
      <c r="F26" s="10" t="n"/>
      <c r="G26" s="10" t="n"/>
      <c r="H26" s="10" t="n"/>
      <c r="I26" s="10" t="n"/>
      <c r="J26" s="123" t="n"/>
    </row>
    <row r="27" ht="20" customHeight="1">
      <c r="A27" s="124" t="inlineStr"/>
      <c r="B27" s="13" t="inlineStr">
        <is>
          <t>NC-010</t>
        </is>
      </c>
      <c r="C27" s="125" t="n"/>
      <c r="D27" s="125" t="n"/>
      <c r="E27" s="125" t="n"/>
      <c r="F27" s="125" t="n"/>
      <c r="G27" s="125" t="n"/>
      <c r="H27" s="125" t="n"/>
      <c r="I27" s="125" t="n"/>
      <c r="J27" s="123" t="n"/>
    </row>
    <row r="28" ht="20" customHeight="1">
      <c r="A28" s="122" t="inlineStr"/>
      <c r="B28" s="13" t="inlineStr">
        <is>
          <t>NC-011</t>
        </is>
      </c>
      <c r="C28" s="10" t="n"/>
      <c r="D28" s="10" t="n"/>
      <c r="E28" s="10" t="n"/>
      <c r="F28" s="10" t="n"/>
      <c r="G28" s="10" t="n"/>
      <c r="H28" s="10" t="n"/>
      <c r="I28" s="10" t="n"/>
      <c r="J28" s="123" t="n"/>
    </row>
    <row r="29" ht="20" customHeight="1">
      <c r="A29" s="124" t="inlineStr"/>
      <c r="B29" s="13" t="inlineStr">
        <is>
          <t>NC-012</t>
        </is>
      </c>
      <c r="C29" s="125" t="n"/>
      <c r="D29" s="125" t="n"/>
      <c r="E29" s="125" t="n"/>
      <c r="F29" s="125" t="n"/>
      <c r="G29" s="125" t="n"/>
      <c r="H29" s="125" t="n"/>
      <c r="I29" s="125" t="n"/>
      <c r="J29" s="123" t="n"/>
    </row>
    <row r="30" ht="20" customHeight="1">
      <c r="A30" s="122" t="inlineStr"/>
      <c r="B30" s="13" t="inlineStr">
        <is>
          <t>NC-013</t>
        </is>
      </c>
      <c r="C30" s="10" t="n"/>
      <c r="D30" s="10" t="n"/>
      <c r="E30" s="10" t="n"/>
      <c r="F30" s="10" t="n"/>
      <c r="G30" s="10" t="n"/>
      <c r="H30" s="10" t="n"/>
      <c r="I30" s="10" t="n"/>
      <c r="J30" s="123" t="n"/>
    </row>
    <row r="31" ht="20" customHeight="1">
      <c r="A31" s="124" t="inlineStr"/>
      <c r="B31" s="13" t="inlineStr">
        <is>
          <t>NC-014</t>
        </is>
      </c>
      <c r="C31" s="125" t="n"/>
      <c r="D31" s="125" t="n"/>
      <c r="E31" s="125" t="n"/>
      <c r="F31" s="125" t="n"/>
      <c r="G31" s="125" t="n"/>
      <c r="H31" s="125" t="n"/>
      <c r="I31" s="125" t="n"/>
      <c r="J31" s="123" t="n"/>
    </row>
    <row r="32" ht="20" customHeight="1">
      <c r="A32" s="122" t="inlineStr"/>
      <c r="B32" s="13" t="inlineStr">
        <is>
          <t>NC-015</t>
        </is>
      </c>
      <c r="C32" s="10" t="n"/>
      <c r="D32" s="10" t="n"/>
      <c r="E32" s="10" t="n"/>
      <c r="F32" s="10" t="n"/>
      <c r="G32" s="10" t="n"/>
      <c r="H32" s="10" t="n"/>
      <c r="I32" s="10" t="n"/>
      <c r="J32" s="123" t="n"/>
    </row>
    <row r="33" ht="20" customHeight="1">
      <c r="A33" s="124" t="inlineStr"/>
      <c r="B33" s="13" t="inlineStr">
        <is>
          <t>NC-016</t>
        </is>
      </c>
      <c r="C33" s="125" t="n"/>
      <c r="D33" s="125" t="n"/>
      <c r="E33" s="125" t="n"/>
      <c r="F33" s="125" t="n"/>
      <c r="G33" s="125" t="n"/>
      <c r="H33" s="125" t="n"/>
      <c r="I33" s="125" t="n"/>
      <c r="J33" s="123" t="n"/>
    </row>
    <row r="34" ht="20" customHeight="1">
      <c r="A34" s="122" t="inlineStr"/>
      <c r="B34" s="13" t="inlineStr">
        <is>
          <t>NC-017</t>
        </is>
      </c>
      <c r="C34" s="10" t="n"/>
      <c r="D34" s="10" t="n"/>
      <c r="E34" s="10" t="n"/>
      <c r="F34" s="10" t="n"/>
      <c r="G34" s="10" t="n"/>
      <c r="H34" s="10" t="n"/>
      <c r="I34" s="10" t="n"/>
      <c r="J34" s="123" t="n"/>
    </row>
    <row r="35" ht="20" customHeight="1">
      <c r="A35" s="124" t="inlineStr"/>
      <c r="B35" s="13" t="inlineStr">
        <is>
          <t>NC-018</t>
        </is>
      </c>
      <c r="C35" s="125" t="n"/>
      <c r="D35" s="125" t="n"/>
      <c r="E35" s="125" t="n"/>
      <c r="F35" s="125" t="n"/>
      <c r="G35" s="125" t="n"/>
      <c r="H35" s="125" t="n"/>
      <c r="I35" s="125" t="n"/>
      <c r="J35" s="123" t="n"/>
    </row>
    <row r="36" ht="20" customHeight="1">
      <c r="A36" s="122" t="inlineStr"/>
      <c r="B36" s="13" t="inlineStr">
        <is>
          <t>NC-019</t>
        </is>
      </c>
      <c r="C36" s="10" t="n"/>
      <c r="D36" s="10" t="n"/>
      <c r="E36" s="10" t="n"/>
      <c r="F36" s="10" t="n"/>
      <c r="G36" s="10" t="n"/>
      <c r="H36" s="10" t="n"/>
      <c r="I36" s="10" t="n"/>
      <c r="J36" s="123" t="n"/>
    </row>
    <row r="37" ht="20" customHeight="1">
      <c r="A37" s="124" t="inlineStr"/>
      <c r="B37" s="13" t="inlineStr">
        <is>
          <t>NC-020</t>
        </is>
      </c>
      <c r="C37" s="125" t="n"/>
      <c r="D37" s="125" t="n"/>
      <c r="E37" s="125" t="n"/>
      <c r="F37" s="125" t="n"/>
      <c r="G37" s="125" t="n"/>
      <c r="H37" s="125" t="n"/>
      <c r="I37" s="125" t="n"/>
      <c r="J37" s="123" t="n"/>
    </row>
    <row r="39" ht="22" customHeight="1">
      <c r="A39" s="101" t="inlineStr">
        <is>
          <t>🌡️ C. PENILAIAN KONDISI PSIKOLOGIS ANAK (Skala 1–5, Update per 3 Bulan)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5" t="n"/>
    </row>
    <row r="40" ht="26" customHeight="1">
      <c r="A40" s="102" t="inlineStr">
        <is>
          <t>ID</t>
        </is>
      </c>
      <c r="B40" s="103" t="inlineStr">
        <is>
          <t>Nama</t>
        </is>
      </c>
      <c r="C40" s="103" t="inlineStr">
        <is>
          <t>Tgl Awal
Masuk</t>
        </is>
      </c>
      <c r="D40" s="103" t="inlineStr">
        <is>
          <t>Kondisi
Emosional</t>
        </is>
      </c>
      <c r="E40" s="103" t="inlineStr">
        <is>
          <t>Kepercayaan
Diri</t>
        </is>
      </c>
      <c r="F40" s="103" t="inlineStr">
        <is>
          <t>Kemampuan
Sosial</t>
        </is>
      </c>
      <c r="G40" s="103" t="inlineStr">
        <is>
          <t>Resiliensi
&amp; Coping</t>
        </is>
      </c>
      <c r="H40" s="103" t="inlineStr">
        <is>
          <t>Motivasi
Belajar</t>
        </is>
      </c>
      <c r="I40" s="103" t="inlineStr">
        <is>
          <t>Identitas
Diri</t>
        </is>
      </c>
      <c r="J40" s="103" t="inlineStr">
        <is>
          <t>Spiritual</t>
        </is>
      </c>
      <c r="K40" s="103" t="inlineStr">
        <is>
          <t>Rata2</t>
        </is>
      </c>
      <c r="L40" s="126" t="inlineStr">
        <is>
          <t>Status Keseluruhan</t>
        </is>
      </c>
    </row>
    <row r="41" ht="20" customHeight="1">
      <c r="A41" s="13" t="inlineStr">
        <is>
          <t>NC-001</t>
        </is>
      </c>
      <c r="B41" s="14" t="inlineStr"/>
      <c r="C41" s="122" t="inlineStr"/>
      <c r="D41" s="127" t="n"/>
      <c r="E41" s="127" t="n"/>
      <c r="F41" s="127" t="n"/>
      <c r="G41" s="127" t="n"/>
      <c r="H41" s="127" t="n"/>
      <c r="I41" s="127" t="n"/>
      <c r="J41" s="127" t="n"/>
      <c r="K41" s="128">
        <f>IFERROR(AVERAGE(D41:J41),"")</f>
        <v/>
      </c>
      <c r="L41" s="17">
        <f>IFERROR(IF(K41&gt;=4,"🌟 Tumbuh Baik",IF(K41&gt;=3,"📈 Berkembang",IF(K41&gt;=2,"🤝 Butuh Dukungan","⚠️ Intervensi Segera"))),"—")</f>
        <v/>
      </c>
    </row>
    <row r="42" ht="20" customHeight="1">
      <c r="A42" s="13" t="inlineStr">
        <is>
          <t>NC-002</t>
        </is>
      </c>
      <c r="B42" s="20" t="inlineStr"/>
      <c r="C42" s="124" t="inlineStr"/>
      <c r="D42" s="127" t="n"/>
      <c r="E42" s="127" t="n"/>
      <c r="F42" s="127" t="n"/>
      <c r="G42" s="127" t="n"/>
      <c r="H42" s="127" t="n"/>
      <c r="I42" s="127" t="n"/>
      <c r="J42" s="127" t="n"/>
      <c r="K42" s="128">
        <f>IFERROR(AVERAGE(D42:J42),"")</f>
        <v/>
      </c>
      <c r="L42" s="17">
        <f>IFERROR(IF(K42&gt;=4,"🌟 Tumbuh Baik",IF(K42&gt;=3,"📈 Berkembang",IF(K42&gt;=2,"🤝 Butuh Dukungan","⚠️ Intervensi Segera"))),"—")</f>
        <v/>
      </c>
    </row>
    <row r="43" ht="20" customHeight="1">
      <c r="A43" s="13" t="inlineStr">
        <is>
          <t>NC-003</t>
        </is>
      </c>
      <c r="B43" s="14" t="inlineStr"/>
      <c r="C43" s="122" t="inlineStr"/>
      <c r="D43" s="127" t="n"/>
      <c r="E43" s="127" t="n"/>
      <c r="F43" s="127" t="n"/>
      <c r="G43" s="127" t="n"/>
      <c r="H43" s="127" t="n"/>
      <c r="I43" s="127" t="n"/>
      <c r="J43" s="127" t="n"/>
      <c r="K43" s="128">
        <f>IFERROR(AVERAGE(D43:J43),"")</f>
        <v/>
      </c>
      <c r="L43" s="17">
        <f>IFERROR(IF(K43&gt;=4,"🌟 Tumbuh Baik",IF(K43&gt;=3,"📈 Berkembang",IF(K43&gt;=2,"🤝 Butuh Dukungan","⚠️ Intervensi Segera"))),"—")</f>
        <v/>
      </c>
    </row>
    <row r="44" ht="20" customHeight="1">
      <c r="A44" s="13" t="inlineStr">
        <is>
          <t>NC-004</t>
        </is>
      </c>
      <c r="B44" s="20" t="inlineStr"/>
      <c r="C44" s="124" t="inlineStr"/>
      <c r="D44" s="127" t="n"/>
      <c r="E44" s="127" t="n"/>
      <c r="F44" s="127" t="n"/>
      <c r="G44" s="127" t="n"/>
      <c r="H44" s="127" t="n"/>
      <c r="I44" s="127" t="n"/>
      <c r="J44" s="127" t="n"/>
      <c r="K44" s="128">
        <f>IFERROR(AVERAGE(D44:J44),"")</f>
        <v/>
      </c>
      <c r="L44" s="17">
        <f>IFERROR(IF(K44&gt;=4,"🌟 Tumbuh Baik",IF(K44&gt;=3,"📈 Berkembang",IF(K44&gt;=2,"🤝 Butuh Dukungan","⚠️ Intervensi Segera"))),"—")</f>
        <v/>
      </c>
    </row>
    <row r="45" ht="20" customHeight="1">
      <c r="A45" s="13" t="inlineStr">
        <is>
          <t>NC-005</t>
        </is>
      </c>
      <c r="B45" s="14" t="inlineStr"/>
      <c r="C45" s="122" t="inlineStr"/>
      <c r="D45" s="127" t="n"/>
      <c r="E45" s="127" t="n"/>
      <c r="F45" s="127" t="n"/>
      <c r="G45" s="127" t="n"/>
      <c r="H45" s="127" t="n"/>
      <c r="I45" s="127" t="n"/>
      <c r="J45" s="127" t="n"/>
      <c r="K45" s="128">
        <f>IFERROR(AVERAGE(D45:J45),"")</f>
        <v/>
      </c>
      <c r="L45" s="17">
        <f>IFERROR(IF(K45&gt;=4,"🌟 Tumbuh Baik",IF(K45&gt;=3,"📈 Berkembang",IF(K45&gt;=2,"🤝 Butuh Dukungan","⚠️ Intervensi Segera"))),"—")</f>
        <v/>
      </c>
    </row>
    <row r="46" ht="20" customHeight="1">
      <c r="A46" s="13" t="inlineStr">
        <is>
          <t>NC-006</t>
        </is>
      </c>
      <c r="B46" s="20" t="inlineStr"/>
      <c r="C46" s="124" t="inlineStr"/>
      <c r="D46" s="127" t="n"/>
      <c r="E46" s="127" t="n"/>
      <c r="F46" s="127" t="n"/>
      <c r="G46" s="127" t="n"/>
      <c r="H46" s="127" t="n"/>
      <c r="I46" s="127" t="n"/>
      <c r="J46" s="127" t="n"/>
      <c r="K46" s="128">
        <f>IFERROR(AVERAGE(D46:J46),"")</f>
        <v/>
      </c>
      <c r="L46" s="17">
        <f>IFERROR(IF(K46&gt;=4,"🌟 Tumbuh Baik",IF(K46&gt;=3,"📈 Berkembang",IF(K46&gt;=2,"🤝 Butuh Dukungan","⚠️ Intervensi Segera"))),"—")</f>
        <v/>
      </c>
    </row>
    <row r="47" ht="20" customHeight="1">
      <c r="A47" s="13" t="inlineStr">
        <is>
          <t>NC-007</t>
        </is>
      </c>
      <c r="B47" s="14" t="inlineStr"/>
      <c r="C47" s="122" t="inlineStr"/>
      <c r="D47" s="127" t="n"/>
      <c r="E47" s="127" t="n"/>
      <c r="F47" s="127" t="n"/>
      <c r="G47" s="127" t="n"/>
      <c r="H47" s="127" t="n"/>
      <c r="I47" s="127" t="n"/>
      <c r="J47" s="127" t="n"/>
      <c r="K47" s="128">
        <f>IFERROR(AVERAGE(D47:J47),"")</f>
        <v/>
      </c>
      <c r="L47" s="17">
        <f>IFERROR(IF(K47&gt;=4,"🌟 Tumbuh Baik",IF(K47&gt;=3,"📈 Berkembang",IF(K47&gt;=2,"🤝 Butuh Dukungan","⚠️ Intervensi Segera"))),"—")</f>
        <v/>
      </c>
    </row>
    <row r="48" ht="20" customHeight="1">
      <c r="A48" s="13" t="inlineStr">
        <is>
          <t>NC-008</t>
        </is>
      </c>
      <c r="B48" s="20" t="inlineStr"/>
      <c r="C48" s="124" t="inlineStr"/>
      <c r="D48" s="127" t="n"/>
      <c r="E48" s="127" t="n"/>
      <c r="F48" s="127" t="n"/>
      <c r="G48" s="127" t="n"/>
      <c r="H48" s="127" t="n"/>
      <c r="I48" s="127" t="n"/>
      <c r="J48" s="127" t="n"/>
      <c r="K48" s="128">
        <f>IFERROR(AVERAGE(D48:J48),"")</f>
        <v/>
      </c>
      <c r="L48" s="17">
        <f>IFERROR(IF(K48&gt;=4,"🌟 Tumbuh Baik",IF(K48&gt;=3,"📈 Berkembang",IF(K48&gt;=2,"🤝 Butuh Dukungan","⚠️ Intervensi Segera"))),"—")</f>
        <v/>
      </c>
    </row>
    <row r="49" ht="20" customHeight="1">
      <c r="A49" s="13" t="inlineStr">
        <is>
          <t>NC-009</t>
        </is>
      </c>
      <c r="B49" s="14" t="inlineStr"/>
      <c r="C49" s="122" t="inlineStr"/>
      <c r="D49" s="127" t="n"/>
      <c r="E49" s="127" t="n"/>
      <c r="F49" s="127" t="n"/>
      <c r="G49" s="127" t="n"/>
      <c r="H49" s="127" t="n"/>
      <c r="I49" s="127" t="n"/>
      <c r="J49" s="127" t="n"/>
      <c r="K49" s="128">
        <f>IFERROR(AVERAGE(D49:J49),"")</f>
        <v/>
      </c>
      <c r="L49" s="17">
        <f>IFERROR(IF(K49&gt;=4,"🌟 Tumbuh Baik",IF(K49&gt;=3,"📈 Berkembang",IF(K49&gt;=2,"🤝 Butuh Dukungan","⚠️ Intervensi Segera"))),"—")</f>
        <v/>
      </c>
    </row>
    <row r="50" ht="20" customHeight="1">
      <c r="A50" s="13" t="inlineStr">
        <is>
          <t>NC-010</t>
        </is>
      </c>
      <c r="B50" s="20" t="inlineStr"/>
      <c r="C50" s="124" t="inlineStr"/>
      <c r="D50" s="127" t="n"/>
      <c r="E50" s="127" t="n"/>
      <c r="F50" s="127" t="n"/>
      <c r="G50" s="127" t="n"/>
      <c r="H50" s="127" t="n"/>
      <c r="I50" s="127" t="n"/>
      <c r="J50" s="127" t="n"/>
      <c r="K50" s="128">
        <f>IFERROR(AVERAGE(D50:J50),"")</f>
        <v/>
      </c>
      <c r="L50" s="17">
        <f>IFERROR(IF(K50&gt;=4,"🌟 Tumbuh Baik",IF(K50&gt;=3,"📈 Berkembang",IF(K50&gt;=2,"🤝 Butuh Dukungan","⚠️ Intervensi Segera"))),"—")</f>
        <v/>
      </c>
    </row>
    <row r="51" ht="20" customHeight="1">
      <c r="A51" s="13" t="inlineStr">
        <is>
          <t>NC-011</t>
        </is>
      </c>
      <c r="B51" s="14" t="inlineStr"/>
      <c r="C51" s="122" t="inlineStr"/>
      <c r="D51" s="127" t="n"/>
      <c r="E51" s="127" t="n"/>
      <c r="F51" s="127" t="n"/>
      <c r="G51" s="127" t="n"/>
      <c r="H51" s="127" t="n"/>
      <c r="I51" s="127" t="n"/>
      <c r="J51" s="127" t="n"/>
      <c r="K51" s="128">
        <f>IFERROR(AVERAGE(D51:J51),"")</f>
        <v/>
      </c>
      <c r="L51" s="17">
        <f>IFERROR(IF(K51&gt;=4,"🌟 Tumbuh Baik",IF(K51&gt;=3,"📈 Berkembang",IF(K51&gt;=2,"🤝 Butuh Dukungan","⚠️ Intervensi Segera"))),"—")</f>
        <v/>
      </c>
    </row>
    <row r="52" ht="20" customHeight="1">
      <c r="A52" s="13" t="inlineStr">
        <is>
          <t>NC-012</t>
        </is>
      </c>
      <c r="B52" s="20" t="inlineStr"/>
      <c r="C52" s="124" t="inlineStr"/>
      <c r="D52" s="127" t="n"/>
      <c r="E52" s="127" t="n"/>
      <c r="F52" s="127" t="n"/>
      <c r="G52" s="127" t="n"/>
      <c r="H52" s="127" t="n"/>
      <c r="I52" s="127" t="n"/>
      <c r="J52" s="127" t="n"/>
      <c r="K52" s="128">
        <f>IFERROR(AVERAGE(D52:J52),"")</f>
        <v/>
      </c>
      <c r="L52" s="17">
        <f>IFERROR(IF(K52&gt;=4,"🌟 Tumbuh Baik",IF(K52&gt;=3,"📈 Berkembang",IF(K52&gt;=2,"🤝 Butuh Dukungan","⚠️ Intervensi Segera"))),"—")</f>
        <v/>
      </c>
    </row>
    <row r="53" ht="20" customHeight="1">
      <c r="A53" s="13" t="inlineStr">
        <is>
          <t>NC-013</t>
        </is>
      </c>
      <c r="B53" s="14" t="inlineStr"/>
      <c r="C53" s="122" t="inlineStr"/>
      <c r="D53" s="127" t="n"/>
      <c r="E53" s="127" t="n"/>
      <c r="F53" s="127" t="n"/>
      <c r="G53" s="127" t="n"/>
      <c r="H53" s="127" t="n"/>
      <c r="I53" s="127" t="n"/>
      <c r="J53" s="127" t="n"/>
      <c r="K53" s="128">
        <f>IFERROR(AVERAGE(D53:J53),"")</f>
        <v/>
      </c>
      <c r="L53" s="17">
        <f>IFERROR(IF(K53&gt;=4,"🌟 Tumbuh Baik",IF(K53&gt;=3,"📈 Berkembang",IF(K53&gt;=2,"🤝 Butuh Dukungan","⚠️ Intervensi Segera"))),"—")</f>
        <v/>
      </c>
    </row>
    <row r="54" ht="20" customHeight="1">
      <c r="A54" s="13" t="inlineStr">
        <is>
          <t>NC-014</t>
        </is>
      </c>
      <c r="B54" s="20" t="inlineStr"/>
      <c r="C54" s="124" t="inlineStr"/>
      <c r="D54" s="127" t="n"/>
      <c r="E54" s="127" t="n"/>
      <c r="F54" s="127" t="n"/>
      <c r="G54" s="127" t="n"/>
      <c r="H54" s="127" t="n"/>
      <c r="I54" s="127" t="n"/>
      <c r="J54" s="127" t="n"/>
      <c r="K54" s="128">
        <f>IFERROR(AVERAGE(D54:J54),"")</f>
        <v/>
      </c>
      <c r="L54" s="17">
        <f>IFERROR(IF(K54&gt;=4,"🌟 Tumbuh Baik",IF(K54&gt;=3,"📈 Berkembang",IF(K54&gt;=2,"🤝 Butuh Dukungan","⚠️ Intervensi Segera"))),"—")</f>
        <v/>
      </c>
    </row>
    <row r="55" ht="20" customHeight="1">
      <c r="A55" s="13" t="inlineStr">
        <is>
          <t>NC-015</t>
        </is>
      </c>
      <c r="B55" s="14" t="inlineStr"/>
      <c r="C55" s="122" t="inlineStr"/>
      <c r="D55" s="127" t="n"/>
      <c r="E55" s="127" t="n"/>
      <c r="F55" s="127" t="n"/>
      <c r="G55" s="127" t="n"/>
      <c r="H55" s="127" t="n"/>
      <c r="I55" s="127" t="n"/>
      <c r="J55" s="127" t="n"/>
      <c r="K55" s="128">
        <f>IFERROR(AVERAGE(D55:J55),"")</f>
        <v/>
      </c>
      <c r="L55" s="17">
        <f>IFERROR(IF(K55&gt;=4,"🌟 Tumbuh Baik",IF(K55&gt;=3,"📈 Berkembang",IF(K55&gt;=2,"🤝 Butuh Dukungan","⚠️ Intervensi Segera"))),"—")</f>
        <v/>
      </c>
    </row>
    <row r="56" ht="20" customHeight="1">
      <c r="A56" s="13" t="inlineStr">
        <is>
          <t>NC-016</t>
        </is>
      </c>
      <c r="B56" s="20" t="inlineStr"/>
      <c r="C56" s="124" t="inlineStr"/>
      <c r="D56" s="127" t="n"/>
      <c r="E56" s="127" t="n"/>
      <c r="F56" s="127" t="n"/>
      <c r="G56" s="127" t="n"/>
      <c r="H56" s="127" t="n"/>
      <c r="I56" s="127" t="n"/>
      <c r="J56" s="127" t="n"/>
      <c r="K56" s="128">
        <f>IFERROR(AVERAGE(D56:J56),"")</f>
        <v/>
      </c>
      <c r="L56" s="17">
        <f>IFERROR(IF(K56&gt;=4,"🌟 Tumbuh Baik",IF(K56&gt;=3,"📈 Berkembang",IF(K56&gt;=2,"🤝 Butuh Dukungan","⚠️ Intervensi Segera"))),"—")</f>
        <v/>
      </c>
    </row>
    <row r="57" ht="20" customHeight="1">
      <c r="A57" s="13" t="inlineStr">
        <is>
          <t>NC-017</t>
        </is>
      </c>
      <c r="B57" s="14" t="inlineStr"/>
      <c r="C57" s="122" t="inlineStr"/>
      <c r="D57" s="127" t="n"/>
      <c r="E57" s="127" t="n"/>
      <c r="F57" s="127" t="n"/>
      <c r="G57" s="127" t="n"/>
      <c r="H57" s="127" t="n"/>
      <c r="I57" s="127" t="n"/>
      <c r="J57" s="127" t="n"/>
      <c r="K57" s="128">
        <f>IFERROR(AVERAGE(D57:J57),"")</f>
        <v/>
      </c>
      <c r="L57" s="17">
        <f>IFERROR(IF(K57&gt;=4,"🌟 Tumbuh Baik",IF(K57&gt;=3,"📈 Berkembang",IF(K57&gt;=2,"🤝 Butuh Dukungan","⚠️ Intervensi Segera"))),"—")</f>
        <v/>
      </c>
    </row>
    <row r="58" ht="20" customHeight="1">
      <c r="A58" s="13" t="inlineStr">
        <is>
          <t>NC-018</t>
        </is>
      </c>
      <c r="B58" s="20" t="inlineStr"/>
      <c r="C58" s="124" t="inlineStr"/>
      <c r="D58" s="127" t="n"/>
      <c r="E58" s="127" t="n"/>
      <c r="F58" s="127" t="n"/>
      <c r="G58" s="127" t="n"/>
      <c r="H58" s="127" t="n"/>
      <c r="I58" s="127" t="n"/>
      <c r="J58" s="127" t="n"/>
      <c r="K58" s="128">
        <f>IFERROR(AVERAGE(D58:J58),"")</f>
        <v/>
      </c>
      <c r="L58" s="17">
        <f>IFERROR(IF(K58&gt;=4,"🌟 Tumbuh Baik",IF(K58&gt;=3,"📈 Berkembang",IF(K58&gt;=2,"🤝 Butuh Dukungan","⚠️ Intervensi Segera"))),"—")</f>
        <v/>
      </c>
    </row>
    <row r="59" ht="20" customHeight="1">
      <c r="A59" s="13" t="inlineStr">
        <is>
          <t>NC-019</t>
        </is>
      </c>
      <c r="B59" s="14" t="inlineStr"/>
      <c r="C59" s="122" t="inlineStr"/>
      <c r="D59" s="127" t="n"/>
      <c r="E59" s="127" t="n"/>
      <c r="F59" s="127" t="n"/>
      <c r="G59" s="127" t="n"/>
      <c r="H59" s="127" t="n"/>
      <c r="I59" s="127" t="n"/>
      <c r="J59" s="127" t="n"/>
      <c r="K59" s="128">
        <f>IFERROR(AVERAGE(D59:J59),"")</f>
        <v/>
      </c>
      <c r="L59" s="17">
        <f>IFERROR(IF(K59&gt;=4,"🌟 Tumbuh Baik",IF(K59&gt;=3,"📈 Berkembang",IF(K59&gt;=2,"🤝 Butuh Dukungan","⚠️ Intervensi Segera"))),"—")</f>
        <v/>
      </c>
    </row>
    <row r="60" ht="20" customHeight="1">
      <c r="A60" s="13" t="inlineStr">
        <is>
          <t>NC-020</t>
        </is>
      </c>
      <c r="B60" s="20" t="inlineStr"/>
      <c r="C60" s="124" t="inlineStr"/>
      <c r="D60" s="127" t="n"/>
      <c r="E60" s="127" t="n"/>
      <c r="F60" s="127" t="n"/>
      <c r="G60" s="127" t="n"/>
      <c r="H60" s="127" t="n"/>
      <c r="I60" s="127" t="n"/>
      <c r="J60" s="127" t="n"/>
      <c r="K60" s="128">
        <f>IFERROR(AVERAGE(D60:J60),"")</f>
        <v/>
      </c>
      <c r="L60" s="17">
        <f>IFERROR(IF(K60&gt;=4,"🌟 Tumbuh Baik",IF(K60&gt;=3,"📈 Berkembang",IF(K60&gt;=2,"🤝 Butuh Dukungan","⚠️ Intervensi Segera"))),"—")</f>
        <v/>
      </c>
    </row>
  </sheetData>
  <mergeCells count="35">
    <mergeCell ref="A16:L16"/>
    <mergeCell ref="J24:L24"/>
    <mergeCell ref="J36:L36"/>
    <mergeCell ref="J27:L27"/>
    <mergeCell ref="H10:L10"/>
    <mergeCell ref="J35:L35"/>
    <mergeCell ref="J20:L20"/>
    <mergeCell ref="J26:L26"/>
    <mergeCell ref="H9:L9"/>
    <mergeCell ref="J25:L25"/>
    <mergeCell ref="A2:L2"/>
    <mergeCell ref="J32:L32"/>
    <mergeCell ref="J22:L22"/>
    <mergeCell ref="J31:L31"/>
    <mergeCell ref="J21:L21"/>
    <mergeCell ref="A4:L4"/>
    <mergeCell ref="J33:L33"/>
    <mergeCell ref="H11:L11"/>
    <mergeCell ref="H7:L7"/>
    <mergeCell ref="J18:L18"/>
    <mergeCell ref="J23:L23"/>
    <mergeCell ref="J17:L17"/>
    <mergeCell ref="H13:L13"/>
    <mergeCell ref="A39:L39"/>
    <mergeCell ref="J29:L29"/>
    <mergeCell ref="H12:L12"/>
    <mergeCell ref="J28:L28"/>
    <mergeCell ref="J19:L19"/>
    <mergeCell ref="J37:L37"/>
    <mergeCell ref="A1:L1"/>
    <mergeCell ref="A6:L6"/>
    <mergeCell ref="H14:L14"/>
    <mergeCell ref="J34:L34"/>
    <mergeCell ref="H8:L8"/>
    <mergeCell ref="J30:L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5" customWidth="1" min="5" max="5"/>
    <col width="15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42" customHeight="1">
      <c r="A1" s="1" t="inlineStr">
        <is>
          <t>🌱 SOP PERTANIAN ORGANIK 100% NATURAL — NAWA CAHAYA</t>
        </is>
      </c>
    </row>
    <row r="2" ht="18" customHeight="1">
      <c r="A2" s="2" t="inlineStr">
        <is>
          <t>ZERO Pestisida Kimia · ZERO Pupuk Sintetis Berlebihan · Sistem Terpadu Ternak + Kebun + Kompos</t>
        </is>
      </c>
    </row>
    <row r="4" ht="30" customHeight="1">
      <c r="A4" s="129" t="inlineStr">
        <is>
          <t xml:space="preserve">  🌿 FILOSOFI: Pertanian Nawa Cahaya menggunakan sistem ALAMI 100%. Pupuk dari kotoran ternak sendiri (kompos + cair). Pestisida dari tanaman (serai, bawang putih, kunyit). Hasil = lebih sehat untuk anak binaan + nilai jual PREMIUM untuk pasar organik &amp; ekspor.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6" ht="22" customHeight="1">
      <c r="A6" s="130" t="inlineStr">
        <is>
          <t>🌿 A. PUPUK ORGANIK DARI SUMBER SENDIRI (ZERO BELI)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6" customHeight="1">
      <c r="A7" s="131" t="inlineStr">
        <is>
          <t>No</t>
        </is>
      </c>
      <c r="B7" s="132" t="inlineStr">
        <is>
          <t>Jenis Pupuk</t>
        </is>
      </c>
      <c r="C7" s="132" t="inlineStr">
        <is>
          <t>Bahan Baku</t>
        </is>
      </c>
      <c r="D7" s="132" t="inlineStr">
        <is>
          <t>Cara Buat</t>
        </is>
      </c>
      <c r="E7" s="132" t="inlineStr">
        <is>
          <t>Waktu Proses</t>
        </is>
      </c>
      <c r="F7" s="132" t="inlineStr">
        <is>
          <t>Dosis Aplikasi</t>
        </is>
      </c>
      <c r="G7" s="132" t="inlineStr">
        <is>
          <t>Frekuensi</t>
        </is>
      </c>
      <c r="H7" s="132" t="inlineStr">
        <is>
          <t>Manfaat Utama</t>
        </is>
      </c>
      <c r="I7" s="28" t="n"/>
      <c r="J7" s="28" t="n"/>
      <c r="K7" s="28" t="n"/>
      <c r="L7" s="29" t="n"/>
    </row>
    <row r="8" ht="30" customHeight="1">
      <c r="A8" s="133" t="n">
        <v>1</v>
      </c>
      <c r="B8" s="134" t="inlineStr">
        <is>
          <t>Kompos Padat</t>
        </is>
      </c>
      <c r="C8" s="135" t="inlineStr">
        <is>
          <t>Kotoran kambing/sapi + jerami + sekam + EM4</t>
        </is>
      </c>
      <c r="D8" s="135" t="inlineStr">
        <is>
          <t>Tumpuk dalam pit 2×2m. Siram EM4. Balik setiap 3 hari. Tutup plastik.</t>
        </is>
      </c>
      <c r="E8" s="110" t="inlineStr">
        <is>
          <t>21–30 hari</t>
        </is>
      </c>
      <c r="F8" s="135" t="inlineStr">
        <is>
          <t>2–3 kg per tanaman saat tanam</t>
        </is>
      </c>
      <c r="G8" s="110" t="inlineStr">
        <is>
          <t>Setiap musim tanam</t>
        </is>
      </c>
      <c r="H8" s="64" t="inlineStr">
        <is>
          <t>Perbaikan struktur tanah, mikroba, N-P-K alami</t>
        </is>
      </c>
      <c r="I8" s="4" t="n"/>
      <c r="J8" s="4" t="n"/>
      <c r="K8" s="4" t="n"/>
      <c r="L8" s="5" t="n"/>
    </row>
    <row r="9" ht="30" customHeight="1">
      <c r="A9" s="83" t="n">
        <v>2</v>
      </c>
      <c r="B9" s="136" t="inlineStr">
        <is>
          <t>Pupuk Cair Kandang (PCK)</t>
        </is>
      </c>
      <c r="C9" s="112" t="inlineStr">
        <is>
          <t>Air rendaman kotoran ternak 1:10</t>
        </is>
      </c>
      <c r="D9" s="112" t="inlineStr">
        <is>
          <t>Rendam 1kg kotoran dalam 10L air. Diamkan 3–7 hari. Saring. Encerkan 1:5.</t>
        </is>
      </c>
      <c r="E9" s="86" t="inlineStr">
        <is>
          <t>3–7 hari</t>
        </is>
      </c>
      <c r="F9" s="112" t="inlineStr">
        <is>
          <t>Siram 200ml per tanaman</t>
        </is>
      </c>
      <c r="G9" s="86" t="inlineStr">
        <is>
          <t>1× seminggu</t>
        </is>
      </c>
      <c r="H9" s="87" t="inlineStr">
        <is>
          <t>Cepat diserap akar, N tinggi, stimulasi pertumbuhan</t>
        </is>
      </c>
      <c r="I9" s="4" t="n"/>
      <c r="J9" s="4" t="n"/>
      <c r="K9" s="4" t="n"/>
      <c r="L9" s="5" t="n"/>
    </row>
    <row r="10" ht="30" customHeight="1">
      <c r="A10" s="133" t="n">
        <v>3</v>
      </c>
      <c r="B10" s="134" t="inlineStr">
        <is>
          <t>MOL (Mikroorganisme Lokal)</t>
        </is>
      </c>
      <c r="C10" s="135" t="inlineStr">
        <is>
          <t>Nasi basi + gula merah + air kelapa + kulit buah</t>
        </is>
      </c>
      <c r="D10" s="135" t="inlineStr">
        <is>
          <t>Campur semua dalam galon. Tutup dengan kain. Diamkan 5–7 hari. Bau asam = siap.</t>
        </is>
      </c>
      <c r="E10" s="110" t="inlineStr">
        <is>
          <t>5–7 hari</t>
        </is>
      </c>
      <c r="F10" s="135" t="inlineStr">
        <is>
          <t>Encerkan 1:10, semprot daun &amp; tanah</t>
        </is>
      </c>
      <c r="G10" s="110" t="inlineStr">
        <is>
          <t>2× sebulan</t>
        </is>
      </c>
      <c r="H10" s="64" t="inlineStr">
        <is>
          <t>Mikroba mengurai bahan organik, sehatkan tanah</t>
        </is>
      </c>
      <c r="I10" s="4" t="n"/>
      <c r="J10" s="4" t="n"/>
      <c r="K10" s="4" t="n"/>
      <c r="L10" s="5" t="n"/>
    </row>
    <row r="11" ht="30" customHeight="1">
      <c r="A11" s="83" t="n">
        <v>4</v>
      </c>
      <c r="B11" s="136" t="inlineStr">
        <is>
          <t>Kompos Daun / Hijau (Green Manure)</t>
        </is>
      </c>
      <c r="C11" s="112" t="inlineStr">
        <is>
          <t>Daun sereh, kunyit, batang jagung, gulma</t>
        </is>
      </c>
      <c r="D11" s="112" t="inlineStr">
        <is>
          <t>Cacah + kubur langsung ke tanah 2 minggu sebelum tanam. Atau tumpuk + EM4.</t>
        </is>
      </c>
      <c r="E11" s="86" t="inlineStr">
        <is>
          <t>14 hari</t>
        </is>
      </c>
      <c r="F11" s="112" t="inlineStr">
        <is>
          <t>Benam 3–5 kg per m²</t>
        </is>
      </c>
      <c r="G11" s="86" t="inlineStr">
        <is>
          <t>Sebelum tanam</t>
        </is>
      </c>
      <c r="H11" s="87" t="inlineStr">
        <is>
          <t>C-organik naik, cacing tanah aktif, tanah gembur</t>
        </is>
      </c>
      <c r="I11" s="4" t="n"/>
      <c r="J11" s="4" t="n"/>
      <c r="K11" s="4" t="n"/>
      <c r="L11" s="5" t="n"/>
    </row>
    <row r="12" ht="30" customHeight="1">
      <c r="A12" s="133" t="n">
        <v>5</v>
      </c>
      <c r="B12" s="134" t="inlineStr">
        <is>
          <t>Biogas Slurry (Ampas Biodigester)</t>
        </is>
      </c>
      <c r="C12" s="135" t="inlineStr">
        <is>
          <t>Sisa fermentasi dari biodigester</t>
        </is>
      </c>
      <c r="D12" s="135" t="inlineStr">
        <is>
          <t>Langsung pakai — tidak perlu proses lagi. Sudah dalam bentuk cair.</t>
        </is>
      </c>
      <c r="E12" s="110" t="inlineStr">
        <is>
          <t>Instan</t>
        </is>
      </c>
      <c r="F12" s="135" t="inlineStr">
        <is>
          <t>Siram 1L per tanaman</t>
        </is>
      </c>
      <c r="G12" s="110" t="inlineStr">
        <is>
          <t>Seminggu sekali</t>
        </is>
      </c>
      <c r="H12" s="64" t="inlineStr">
        <is>
          <t>Pupuk cair premium, pH stabil, gratis dari biogas</t>
        </is>
      </c>
      <c r="I12" s="4" t="n"/>
      <c r="J12" s="4" t="n"/>
      <c r="K12" s="4" t="n"/>
      <c r="L12" s="5" t="n"/>
    </row>
    <row r="13" ht="30" customHeight="1">
      <c r="A13" s="83" t="n">
        <v>6</v>
      </c>
      <c r="B13" s="136" t="inlineStr">
        <is>
          <t>Biourin Kambing / Sapi</t>
        </is>
      </c>
      <c r="C13" s="112" t="inlineStr">
        <is>
          <t>Urin segar + air 1:5 + kunyit bubuk</t>
        </is>
      </c>
      <c r="D13" s="112" t="inlineStr">
        <is>
          <t>Tampung urin dalam drum tertutup. Campur air 1:5. Diamkan 3 hari. Saring.</t>
        </is>
      </c>
      <c r="E13" s="86" t="inlineStr">
        <is>
          <t>3 hari</t>
        </is>
      </c>
      <c r="F13" s="112" t="inlineStr">
        <is>
          <t>Siram 300ml per tanaman</t>
        </is>
      </c>
      <c r="G13" s="86" t="inlineStr">
        <is>
          <t>2× seminggu</t>
        </is>
      </c>
      <c r="H13" s="87" t="inlineStr">
        <is>
          <t>Kalium &amp; nitrogen tinggi. Anti jamur alami dari kunyit</t>
        </is>
      </c>
      <c r="I13" s="4" t="n"/>
      <c r="J13" s="4" t="n"/>
      <c r="K13" s="4" t="n"/>
      <c r="L13" s="5" t="n"/>
    </row>
    <row r="15" ht="22" customHeight="1">
      <c r="A15" s="130" t="inlineStr">
        <is>
          <t>🦗 B. PESTISIDA NABATI ALAMI (BUAT SENDIRI — ZERO KIMIA)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</row>
    <row r="16" ht="26" customHeight="1">
      <c r="A16" s="131" t="inlineStr">
        <is>
          <t>No</t>
        </is>
      </c>
      <c r="B16" s="132" t="inlineStr">
        <is>
          <t>Pestisida</t>
        </is>
      </c>
      <c r="C16" s="132" t="inlineStr">
        <is>
          <t>Target Hama</t>
        </is>
      </c>
      <c r="D16" s="132" t="inlineStr">
        <is>
          <t>Bahan</t>
        </is>
      </c>
      <c r="E16" s="132" t="inlineStr">
        <is>
          <t>Cara Buat</t>
        </is>
      </c>
      <c r="F16" s="132" t="inlineStr">
        <is>
          <t>Cara Pakai</t>
        </is>
      </c>
      <c r="G16" s="132" t="inlineStr">
        <is>
          <t>Efektivitas</t>
        </is>
      </c>
      <c r="H16" s="132" t="inlineStr">
        <is>
          <t>Catatan</t>
        </is>
      </c>
      <c r="I16" s="28" t="n"/>
      <c r="J16" s="28" t="n"/>
      <c r="K16" s="28" t="n"/>
      <c r="L16" s="29" t="n"/>
    </row>
    <row r="17" ht="28" customHeight="1">
      <c r="A17" s="133" t="n">
        <v>1</v>
      </c>
      <c r="B17" s="38" t="inlineStr">
        <is>
          <t>Larutan Serai + Kunyit</t>
        </is>
      </c>
      <c r="C17" s="135" t="inlineStr">
        <is>
          <t>Thrips, kutu daun, ulat muda</t>
        </is>
      </c>
      <c r="D17" s="135" t="inlineStr">
        <is>
          <t>100g batang serai + 50g kunyit + 1L air</t>
        </is>
      </c>
      <c r="E17" s="135" t="inlineStr">
        <is>
          <t>Blender + saring + encerkan 1:5</t>
        </is>
      </c>
      <c r="F17" s="135" t="inlineStr">
        <is>
          <t>Semprot pagi/sore, fokus bagian bawah daun</t>
        </is>
      </c>
      <c r="G17" s="137" t="inlineStr">
        <is>
          <t>★★★ Sangat efektif</t>
        </is>
      </c>
      <c r="H17" s="64" t="inlineStr">
        <is>
          <t>Bahan tersedia di kebun sendiri! Gratis</t>
        </is>
      </c>
      <c r="I17" s="4" t="n"/>
      <c r="J17" s="4" t="n"/>
      <c r="K17" s="4" t="n"/>
      <c r="L17" s="5" t="n"/>
    </row>
    <row r="18" ht="28" customHeight="1">
      <c r="A18" s="83" t="n">
        <v>2</v>
      </c>
      <c r="B18" s="31" t="inlineStr">
        <is>
          <t>Ekstrak Bawang Putih</t>
        </is>
      </c>
      <c r="C18" s="112" t="inlineStr">
        <is>
          <t>Jamur, bakteri, virus tanaman</t>
        </is>
      </c>
      <c r="D18" s="112" t="inlineStr">
        <is>
          <t>200g bawang putih + 1L air + sedikit sabun colek</t>
        </is>
      </c>
      <c r="E18" s="112" t="inlineStr">
        <is>
          <t>Blender + saring, encerkan 1:10</t>
        </is>
      </c>
      <c r="F18" s="112" t="inlineStr">
        <is>
          <t>Semprot seluruh tanaman tiap 5 hari</t>
        </is>
      </c>
      <c r="G18" s="137" t="inlineStr">
        <is>
          <t>★★★ Anti-fungal kuat</t>
        </is>
      </c>
      <c r="H18" s="87" t="inlineStr">
        <is>
          <t>Allicin dalam bawang putih sangat potent</t>
        </is>
      </c>
      <c r="I18" s="4" t="n"/>
      <c r="J18" s="4" t="n"/>
      <c r="K18" s="4" t="n"/>
      <c r="L18" s="5" t="n"/>
    </row>
    <row r="19" ht="28" customHeight="1">
      <c r="A19" s="133" t="n">
        <v>3</v>
      </c>
      <c r="B19" s="38" t="inlineStr">
        <is>
          <t>Larutan Cabai + Bawang</t>
        </is>
      </c>
      <c r="C19" s="135" t="inlineStr">
        <is>
          <t>Ulat, kupu-kupu, serangga besar</t>
        </is>
      </c>
      <c r="D19" s="135" t="inlineStr">
        <is>
          <t>100g cabai rawit + 5 siung bawang putih + air</t>
        </is>
      </c>
      <c r="E19" s="135" t="inlineStr">
        <is>
          <t>Blender + saring + encerkan 1:5</t>
        </is>
      </c>
      <c r="F19" s="135" t="inlineStr">
        <is>
          <t>Semprot sore hari, hindari bunga</t>
        </is>
      </c>
      <c r="G19" s="138" t="inlineStr">
        <is>
          <t>★★ Cukup efektif</t>
        </is>
      </c>
      <c r="H19" s="64" t="inlineStr">
        <is>
          <t>Capsaicin mengusir serangga. Aman manusia &amp; tanah</t>
        </is>
      </c>
      <c r="I19" s="4" t="n"/>
      <c r="J19" s="4" t="n"/>
      <c r="K19" s="4" t="n"/>
      <c r="L19" s="5" t="n"/>
    </row>
    <row r="20" ht="28" customHeight="1">
      <c r="A20" s="83" t="n">
        <v>4</v>
      </c>
      <c r="B20" s="31" t="inlineStr">
        <is>
          <t>Sabun Cuci Alami (Biosurfaktan)</t>
        </is>
      </c>
      <c r="C20" s="112" t="inlineStr">
        <is>
          <t>Kutu putih, kutu kebul, tungau</t>
        </is>
      </c>
      <c r="D20" s="112" t="inlineStr">
        <is>
          <t>2 sdm sabun cair alami + 1L air</t>
        </is>
      </c>
      <c r="E20" s="112" t="inlineStr">
        <is>
          <t>Campur langsung, kocok pelan</t>
        </is>
      </c>
      <c r="F20" s="112" t="inlineStr">
        <is>
          <t>Semprot langsung ke hama, jangan terik matahari</t>
        </is>
      </c>
      <c r="G20" s="138" t="inlineStr">
        <is>
          <t>★★ Efektif kontak</t>
        </is>
      </c>
      <c r="H20" s="87" t="inlineStr">
        <is>
          <t>Menyumbat pori pernapasan serangga</t>
        </is>
      </c>
      <c r="I20" s="4" t="n"/>
      <c r="J20" s="4" t="n"/>
      <c r="K20" s="4" t="n"/>
      <c r="L20" s="5" t="n"/>
    </row>
    <row r="21" ht="28" customHeight="1">
      <c r="A21" s="133" t="n">
        <v>5</v>
      </c>
      <c r="B21" s="38" t="inlineStr">
        <is>
          <t>Urin Fermentasi</t>
        </is>
      </c>
      <c r="C21" s="135" t="inlineStr">
        <is>
          <t>Hama tanah, nematoda</t>
        </is>
      </c>
      <c r="D21" s="135" t="inlineStr">
        <is>
          <t>Urin kambing/sapi fermentasi 1 minggu</t>
        </is>
      </c>
      <c r="E21" s="135" t="inlineStr">
        <is>
          <t>Encerkan 1:10 dengan air</t>
        </is>
      </c>
      <c r="F21" s="135" t="inlineStr">
        <is>
          <t>Siram ke tanah sekitar tanaman</t>
        </is>
      </c>
      <c r="G21" s="138" t="inlineStr">
        <is>
          <t>★★ Mengusir hama tanah</t>
        </is>
      </c>
      <c r="H21" s="64" t="inlineStr">
        <is>
          <t>Bau mengusir tikus &amp; hama tanah lainnya</t>
        </is>
      </c>
      <c r="I21" s="4" t="n"/>
      <c r="J21" s="4" t="n"/>
      <c r="K21" s="4" t="n"/>
      <c r="L21" s="5" t="n"/>
    </row>
    <row r="22" ht="28" customHeight="1">
      <c r="A22" s="83" t="n">
        <v>6</v>
      </c>
      <c r="B22" s="31" t="inlineStr">
        <is>
          <t>Trap Perangkap (Non-Kimia)</t>
        </is>
      </c>
      <c r="C22" s="112" t="inlineStr">
        <is>
          <t>Kupu, ngengat, lalat buah</t>
        </is>
      </c>
      <c r="D22" s="112" t="inlineStr">
        <is>
          <t>Botol plastik + air gula + cuka</t>
        </is>
      </c>
      <c r="E22" s="112" t="inlineStr">
        <is>
          <t>Gunting botol, isi larutan, gantung di tanaman</t>
        </is>
      </c>
      <c r="F22" s="112" t="inlineStr">
        <is>
          <t>Ganti setiap 3–5 hari</t>
        </is>
      </c>
      <c r="G22" s="137" t="inlineStr">
        <is>
          <t>★★★ Lalat buah &amp; ngengat</t>
        </is>
      </c>
      <c r="H22" s="87" t="inlineStr">
        <is>
          <t>Zero bahan kimia. Efektif untuk cabai &amp; tomat</t>
        </is>
      </c>
      <c r="I22" s="4" t="n"/>
      <c r="J22" s="4" t="n"/>
      <c r="K22" s="4" t="n"/>
      <c r="L22" s="5" t="n"/>
    </row>
    <row r="24" ht="22" customHeight="1">
      <c r="A24" s="130" t="inlineStr">
        <is>
          <t>📒 C. LOGBOOK KEBUN ORGANIK (Isi Tiap Kegiatan)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 ht="26" customHeight="1">
      <c r="A25" s="131" t="inlineStr">
        <is>
          <t>Tanggal</t>
        </is>
      </c>
      <c r="B25" s="132" t="inlineStr">
        <is>
          <t>Lahan/Bedeng</t>
        </is>
      </c>
      <c r="C25" s="132" t="inlineStr">
        <is>
          <t>Komoditi</t>
        </is>
      </c>
      <c r="D25" s="132" t="inlineStr">
        <is>
          <t>Kegiatan</t>
        </is>
      </c>
      <c r="E25" s="132" t="inlineStr">
        <is>
          <t>Pupuk
Dipakai</t>
        </is>
      </c>
      <c r="F25" s="132" t="inlineStr">
        <is>
          <t>Pestisida
Dipakai</t>
        </is>
      </c>
      <c r="G25" s="132" t="inlineStr">
        <is>
          <t>Cuaca</t>
        </is>
      </c>
      <c r="H25" s="132" t="inlineStr">
        <is>
          <t>Catatan
Pengamatan</t>
        </is>
      </c>
      <c r="I25" s="132" t="inlineStr">
        <is>
          <t>Petugas</t>
        </is>
      </c>
      <c r="J25" s="28" t="n"/>
      <c r="K25" s="28" t="n"/>
      <c r="L25" s="29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2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0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20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20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20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2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2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20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</sheetData>
  <mergeCells count="21">
    <mergeCell ref="H20:L20"/>
    <mergeCell ref="H10:L10"/>
    <mergeCell ref="H9:L9"/>
    <mergeCell ref="A2:L2"/>
    <mergeCell ref="H21:L21"/>
    <mergeCell ref="A4:L4"/>
    <mergeCell ref="H17:L17"/>
    <mergeCell ref="H11:L11"/>
    <mergeCell ref="H7:L7"/>
    <mergeCell ref="H16:L16"/>
    <mergeCell ref="H19:L19"/>
    <mergeCell ref="H13:L13"/>
    <mergeCell ref="I25:L25"/>
    <mergeCell ref="H22:L22"/>
    <mergeCell ref="A24:L24"/>
    <mergeCell ref="A15:L15"/>
    <mergeCell ref="H12:L12"/>
    <mergeCell ref="A1:L1"/>
    <mergeCell ref="H18:L18"/>
    <mergeCell ref="A6:L6"/>
    <mergeCell ref="H8:L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8" customWidth="1" min="10" max="10"/>
    <col width="8" customWidth="1" min="11" max="11"/>
    <col width="8" customWidth="1" min="12" max="12"/>
  </cols>
  <sheetData>
    <row r="1" ht="44" customHeight="1">
      <c r="A1" s="1" t="inlineStr">
        <is>
          <t>🌏 ROADMAP EKSPANSI DONASI &amp; INVESTOR INTERNASIONAL — NAWA CAHAYA</t>
        </is>
      </c>
    </row>
    <row r="2" ht="18" customHeight="1">
      <c r="A2" s="2" t="inlineStr">
        <is>
          <t>Grant Internasional · Impact Investor · CSR Global · Diaspora Network · UN SDGs Alignment</t>
        </is>
      </c>
    </row>
    <row r="4" ht="28" customHeight="1">
      <c r="A4" s="139" t="inlineStr">
        <is>
          <t xml:space="preserve">  🎯 MISI GLOBAL: Membuka akses donasi dan investasi internasional untuk mendukung Nawa Cahaya berkembang dari skala lokal ke model yang bisa direplikasi di Asia Tenggara. Semua program selaras dengan UN SDGs #1, #4, #8, #10, #17.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6" ht="22" customHeight="1">
      <c r="A6" s="140" t="inlineStr">
        <is>
          <t>🎯 A. TARGET GRANT &amp; DONOR INTERNASIONAL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6" customHeight="1">
      <c r="A7" s="141" t="inlineStr">
        <is>
          <t>No</t>
        </is>
      </c>
      <c r="B7" s="142" t="inlineStr">
        <is>
          <t>Nama Organisasi</t>
        </is>
      </c>
      <c r="C7" s="142" t="inlineStr">
        <is>
          <t>Negara</t>
        </is>
      </c>
      <c r="D7" s="142" t="inlineStr">
        <is>
          <t>Fokus Area</t>
        </is>
      </c>
      <c r="E7" s="142" t="inlineStr">
        <is>
          <t>Est. Grant</t>
        </is>
      </c>
      <c r="F7" s="142" t="inlineStr">
        <is>
          <t>Batas
Aplikasi</t>
        </is>
      </c>
      <c r="G7" s="142" t="inlineStr">
        <is>
          <t>Status</t>
        </is>
      </c>
      <c r="H7" s="142" t="inlineStr">
        <is>
          <t>Link / Kontak</t>
        </is>
      </c>
      <c r="I7" s="142" t="inlineStr">
        <is>
          <t>Catatan Strategi</t>
        </is>
      </c>
      <c r="J7" s="28" t="n"/>
      <c r="K7" s="28" t="n"/>
      <c r="L7" s="29" t="n"/>
    </row>
    <row r="8" ht="24" customHeight="1">
      <c r="A8" s="143" t="n">
        <v>1</v>
      </c>
      <c r="B8" s="144" t="inlineStr">
        <is>
          <t>USAID Youth Resilience Fund</t>
        </is>
      </c>
      <c r="C8" s="145" t="inlineStr">
        <is>
          <t>USA</t>
        </is>
      </c>
      <c r="D8" s="146" t="inlineStr">
        <is>
          <t>Education, Youth, Economic Empowerment</t>
        </is>
      </c>
      <c r="E8" s="147" t="inlineStr">
        <is>
          <t>USD 50.000–200.000</t>
        </is>
      </c>
      <c r="F8" s="145" t="inlineStr">
        <is>
          <t>Rolling (cek website)</t>
        </is>
      </c>
      <c r="G8" s="60" t="inlineStr">
        <is>
          <t>Target</t>
        </is>
      </c>
      <c r="H8" s="148" t="inlineStr">
        <is>
          <t>usaid.gov/work-usaid</t>
        </is>
      </c>
      <c r="I8" s="149" t="inlineStr">
        <is>
          <t>Butuh laporan dampak + data anak binaan yang terstruktur</t>
        </is>
      </c>
      <c r="J8" s="4" t="n"/>
      <c r="K8" s="4" t="n"/>
      <c r="L8" s="5" t="n"/>
    </row>
    <row r="9" ht="24" customHeight="1">
      <c r="A9" s="83" t="n">
        <v>2</v>
      </c>
      <c r="B9" s="150" t="inlineStr">
        <is>
          <t>UNICEF Innovation Fund</t>
        </is>
      </c>
      <c r="C9" s="86" t="inlineStr">
        <is>
          <t>Global</t>
        </is>
      </c>
      <c r="D9" s="112" t="inlineStr">
        <is>
          <t>Child welfare, technology, social innovation</t>
        </is>
      </c>
      <c r="E9" s="147" t="inlineStr">
        <is>
          <t>USD 50.000–100.000</t>
        </is>
      </c>
      <c r="F9" s="86" t="inlineStr">
        <is>
          <t>2× per tahun</t>
        </is>
      </c>
      <c r="G9" s="60" t="inlineStr">
        <is>
          <t>Target</t>
        </is>
      </c>
      <c r="H9" s="151" t="inlineStr">
        <is>
          <t>unicef.org/innovation</t>
        </is>
      </c>
      <c r="I9" s="87" t="inlineStr">
        <is>
          <t>Keunggulan: sistem digital transparan + dampak anak</t>
        </is>
      </c>
      <c r="J9" s="4" t="n"/>
      <c r="K9" s="4" t="n"/>
      <c r="L9" s="5" t="n"/>
    </row>
    <row r="10" ht="24" customHeight="1">
      <c r="A10" s="143" t="n">
        <v>3</v>
      </c>
      <c r="B10" s="144" t="inlineStr">
        <is>
          <t>Yayasan Tifa (Indonesia)</t>
        </is>
      </c>
      <c r="C10" s="145" t="inlineStr">
        <is>
          <t>Indonesia</t>
        </is>
      </c>
      <c r="D10" s="146" t="inlineStr">
        <is>
          <t>Demokrasi, pendidikan, pemberdayaan</t>
        </is>
      </c>
      <c r="E10" s="147" t="inlineStr">
        <is>
          <t>IDR 100–500 jt</t>
        </is>
      </c>
      <c r="F10" s="145" t="inlineStr">
        <is>
          <t>Rolling</t>
        </is>
      </c>
      <c r="G10" s="60" t="inlineStr">
        <is>
          <t>Target</t>
        </is>
      </c>
      <c r="H10" s="148" t="inlineStr">
        <is>
          <t>yayasantifa.or.id</t>
        </is>
      </c>
      <c r="I10" s="149" t="inlineStr">
        <is>
          <t>Lokal tapi level internasional. Sudah buka 2024</t>
        </is>
      </c>
      <c r="J10" s="4" t="n"/>
      <c r="K10" s="4" t="n"/>
      <c r="L10" s="5" t="n"/>
    </row>
    <row r="11" ht="24" customHeight="1">
      <c r="A11" s="83" t="n">
        <v>4</v>
      </c>
      <c r="B11" s="150" t="inlineStr">
        <is>
          <t>JICA (Japan Int'l Cooperation)</t>
        </is>
      </c>
      <c r="C11" s="86" t="inlineStr">
        <is>
          <t>Jepang</t>
        </is>
      </c>
      <c r="D11" s="112" t="inlineStr">
        <is>
          <t>Pemberdayaan anak, pertanian, komunitas</t>
        </is>
      </c>
      <c r="E11" s="147" t="inlineStr">
        <is>
          <t>Proyek bersama</t>
        </is>
      </c>
      <c r="F11" s="86" t="inlineStr">
        <is>
          <t>Per batch</t>
        </is>
      </c>
      <c r="G11" s="152" t="inlineStr">
        <is>
          <t>Research</t>
        </is>
      </c>
      <c r="H11" s="151" t="inlineStr">
        <is>
          <t>jica.go.jp</t>
        </is>
      </c>
      <c r="I11" s="87" t="inlineStr">
        <is>
          <t>Bisa entry via program exchange atau technical coop</t>
        </is>
      </c>
      <c r="J11" s="4" t="n"/>
      <c r="K11" s="4" t="n"/>
      <c r="L11" s="5" t="n"/>
    </row>
    <row r="12" ht="24" customHeight="1">
      <c r="A12" s="143" t="n">
        <v>5</v>
      </c>
      <c r="B12" s="144" t="inlineStr">
        <is>
          <t>Google.org Impact Challenge</t>
        </is>
      </c>
      <c r="C12" s="145" t="inlineStr">
        <is>
          <t>Global</t>
        </is>
      </c>
      <c r="D12" s="146" t="inlineStr">
        <is>
          <t>Tech for social good</t>
        </is>
      </c>
      <c r="E12" s="147" t="inlineStr">
        <is>
          <t>USD 100.000–5.000.000</t>
        </is>
      </c>
      <c r="F12" s="145" t="inlineStr">
        <is>
          <t>Annual</t>
        </is>
      </c>
      <c r="G12" s="60" t="inlineStr">
        <is>
          <t>Target</t>
        </is>
      </c>
      <c r="H12" s="148" t="inlineStr">
        <is>
          <t>google.org</t>
        </is>
      </c>
      <c r="I12" s="149" t="inlineStr">
        <is>
          <t>Platform digital transparansi = nilai jual ke Google.org</t>
        </is>
      </c>
      <c r="J12" s="4" t="n"/>
      <c r="K12" s="4" t="n"/>
      <c r="L12" s="5" t="n"/>
    </row>
    <row r="13" ht="24" customHeight="1">
      <c r="A13" s="83" t="n">
        <v>6</v>
      </c>
      <c r="B13" s="150" t="inlineStr">
        <is>
          <t>Asia Foundation</t>
        </is>
      </c>
      <c r="C13" s="86" t="inlineStr">
        <is>
          <t>USA/Asia</t>
        </is>
      </c>
      <c r="D13" s="112" t="inlineStr">
        <is>
          <t>Governance, education, women &amp; youth</t>
        </is>
      </c>
      <c r="E13" s="147" t="inlineStr">
        <is>
          <t>USD 25.000–150.000</t>
        </is>
      </c>
      <c r="F13" s="86" t="inlineStr">
        <is>
          <t>Per program</t>
        </is>
      </c>
      <c r="G13" s="60" t="inlineStr">
        <is>
          <t>Target</t>
        </is>
      </c>
      <c r="H13" s="151" t="inlineStr">
        <is>
          <t>asiafoundation.org</t>
        </is>
      </c>
      <c r="I13" s="87" t="inlineStr">
        <is>
          <t>Butuh local partner yang sudah legal</t>
        </is>
      </c>
      <c r="J13" s="4" t="n"/>
      <c r="K13" s="4" t="n"/>
      <c r="L13" s="5" t="n"/>
    </row>
    <row r="14" ht="24" customHeight="1">
      <c r="A14" s="143" t="n">
        <v>7</v>
      </c>
      <c r="B14" s="144" t="inlineStr">
        <is>
          <t>SDGs Fund (UN Partnership)</t>
        </is>
      </c>
      <c r="C14" s="145" t="inlineStr">
        <is>
          <t>Global</t>
        </is>
      </c>
      <c r="D14" s="146" t="inlineStr">
        <is>
          <t>SDGs 1,4,8,10,17</t>
        </is>
      </c>
      <c r="E14" s="147" t="inlineStr">
        <is>
          <t>USD 50.000+</t>
        </is>
      </c>
      <c r="F14" s="145" t="inlineStr">
        <is>
          <t>Annual</t>
        </is>
      </c>
      <c r="G14" s="152" t="inlineStr">
        <is>
          <t>Research</t>
        </is>
      </c>
      <c r="H14" s="148" t="inlineStr">
        <is>
          <t>sdgfund.org</t>
        </is>
      </c>
      <c r="I14" s="149" t="inlineStr">
        <is>
          <t>Alignment dengan SDGs sangat kuat</t>
        </is>
      </c>
      <c r="J14" s="4" t="n"/>
      <c r="K14" s="4" t="n"/>
      <c r="L14" s="5" t="n"/>
    </row>
    <row r="15" ht="24" customHeight="1">
      <c r="A15" s="83" t="n">
        <v>8</v>
      </c>
      <c r="B15" s="150" t="inlineStr">
        <is>
          <t>Impact Investor — B Corp Certified</t>
        </is>
      </c>
      <c r="C15" s="86" t="inlineStr">
        <is>
          <t>Global</t>
        </is>
      </c>
      <c r="D15" s="112" t="inlineStr">
        <is>
          <t>Social enterprise, ROI + impact</t>
        </is>
      </c>
      <c r="E15" s="147" t="inlineStr">
        <is>
          <t>Equity/debt</t>
        </is>
      </c>
      <c r="F15" s="86" t="inlineStr">
        <is>
          <t>Negotiable</t>
        </is>
      </c>
      <c r="G15" s="153" t="inlineStr">
        <is>
          <t>Fase 2</t>
        </is>
      </c>
      <c r="H15" s="151" t="inlineStr">
        <is>
          <t>bcorporation.net</t>
        </is>
      </c>
      <c r="I15" s="87" t="inlineStr">
        <is>
          <t>Setelah ada track record 2 tahun &amp; laporan keuangan</t>
        </is>
      </c>
      <c r="J15" s="4" t="n"/>
      <c r="K15" s="4" t="n"/>
      <c r="L15" s="5" t="n"/>
    </row>
    <row r="16" ht="24" customHeight="1">
      <c r="A16" s="143" t="n">
        <v>9</v>
      </c>
      <c r="B16" s="144" t="inlineStr">
        <is>
          <t>Diaspora Indonesia (USA/Australia)</t>
        </is>
      </c>
      <c r="C16" s="145" t="inlineStr">
        <is>
          <t>Indonesia/Global</t>
        </is>
      </c>
      <c r="D16" s="146" t="inlineStr">
        <is>
          <t>Pemberdayaan anak Indonesia</t>
        </is>
      </c>
      <c r="E16" s="147" t="inlineStr">
        <is>
          <t>Varied</t>
        </is>
      </c>
      <c r="F16" s="145" t="inlineStr">
        <is>
          <t>Always open</t>
        </is>
      </c>
      <c r="G16" s="137" t="inlineStr">
        <is>
          <t>Active</t>
        </is>
      </c>
      <c r="H16" s="148" t="inlineStr">
        <is>
          <t>Komunitas Indonesian Diaspora Network</t>
        </is>
      </c>
      <c r="I16" s="149" t="inlineStr">
        <is>
          <t>Pendekatan via media sosial + storytelling konten</t>
        </is>
      </c>
      <c r="J16" s="4" t="n"/>
      <c r="K16" s="4" t="n"/>
      <c r="L16" s="5" t="n"/>
    </row>
    <row r="17" ht="24" customHeight="1">
      <c r="A17" s="83" t="n">
        <v>10</v>
      </c>
      <c r="B17" s="150" t="inlineStr">
        <is>
          <t>Islamic Relief Worldwide</t>
        </is>
      </c>
      <c r="C17" s="86" t="inlineStr">
        <is>
          <t>UK/Global</t>
        </is>
      </c>
      <c r="D17" s="112" t="inlineStr">
        <is>
          <t>Children, education, livelihood</t>
        </is>
      </c>
      <c r="E17" s="147" t="inlineStr">
        <is>
          <t>USD 20.000–100.000</t>
        </is>
      </c>
      <c r="F17" s="86" t="inlineStr">
        <is>
          <t>Per region</t>
        </is>
      </c>
      <c r="G17" s="152" t="inlineStr">
        <is>
          <t>Research</t>
        </is>
      </c>
      <c r="H17" s="151" t="inlineStr">
        <is>
          <t>islamic-relief.org</t>
        </is>
      </c>
      <c r="I17" s="87" t="inlineStr">
        <is>
          <t>Program anak kurang mampu — sesuai dengan fokus NC</t>
        </is>
      </c>
      <c r="J17" s="4" t="n"/>
      <c r="K17" s="4" t="n"/>
      <c r="L17" s="5" t="n"/>
    </row>
    <row r="19" ht="22" customHeight="1">
      <c r="A19" s="140" t="inlineStr">
        <is>
          <t>🌐 B. ALIGNMENT DENGAN UN SDGs (Kekuatan untuk Proposal Internasional)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</row>
    <row r="20" ht="26" customHeight="1">
      <c r="A20" s="141" t="inlineStr">
        <is>
          <t>SDG</t>
        </is>
      </c>
      <c r="B20" s="142" t="inlineStr">
        <is>
          <t>Relevansi dengan Program Nawa Cahaya</t>
        </is>
      </c>
      <c r="C20" s="142" t="inlineStr">
        <is>
          <t>Prioritas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9" t="n"/>
    </row>
    <row r="21" ht="22" customHeight="1">
      <c r="A21" s="154" t="inlineStr">
        <is>
          <t>SDG #1 — No Poverty</t>
        </is>
      </c>
      <c r="B21" s="155" t="inlineStr">
        <is>
          <t>Anak binaan dari keluarga tidak mampu. Program mengurangi lingkaran kemiskinan.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156" t="inlineStr">
        <is>
          <t>★★★</t>
        </is>
      </c>
    </row>
    <row r="22" ht="22" customHeight="1">
      <c r="A22" s="157" t="inlineStr">
        <is>
          <t>SDG #4 — Quality Education</t>
        </is>
      </c>
      <c r="B22" s="91" t="inlineStr">
        <is>
          <t>Paket C setara SMA, skill digital &amp; pertanian, akses pendidikan merata.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156" t="inlineStr">
        <is>
          <t>★★★</t>
        </is>
      </c>
    </row>
    <row r="23" ht="22" customHeight="1">
      <c r="A23" s="154" t="inlineStr">
        <is>
          <t>SDG #8 — Decent Work &amp; Economic Growth</t>
        </is>
      </c>
      <c r="B23" s="155" t="inlineStr">
        <is>
          <t>Junior CEO program, UMKM binaan, sistem bagi hasil pertanian.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56" t="inlineStr">
        <is>
          <t>★★★</t>
        </is>
      </c>
    </row>
    <row r="24" ht="22" customHeight="1">
      <c r="A24" s="157" t="inlineStr">
        <is>
          <t>SDG #10 — Reduced Inequalities</t>
        </is>
      </c>
      <c r="B24" s="91" t="inlineStr">
        <is>
          <t>Target anak dari keluarga terlantar/broken home. Pemerataan akses.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156" t="inlineStr">
        <is>
          <t>★★★</t>
        </is>
      </c>
    </row>
    <row r="25" ht="22" customHeight="1">
      <c r="A25" s="154" t="inlineStr">
        <is>
          <t>SDG #12 — Responsible Consumption</t>
        </is>
      </c>
      <c r="B25" s="155" t="inlineStr">
        <is>
          <t>Pertanian 100% organik, zero pestisida, sistem circular economy.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158" t="inlineStr">
        <is>
          <t>★★</t>
        </is>
      </c>
    </row>
    <row r="26" ht="22" customHeight="1">
      <c r="A26" s="157" t="inlineStr">
        <is>
          <t>SDG #13 — Climate Action</t>
        </is>
      </c>
      <c r="B26" s="91" t="inlineStr">
        <is>
          <t>Pertanian natural, biogas, solar panel, zero chemical farming.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158" t="inlineStr">
        <is>
          <t>★★</t>
        </is>
      </c>
    </row>
    <row r="27" ht="22" customHeight="1">
      <c r="A27" s="154" t="inlineStr">
        <is>
          <t>SDG #17 — Partnerships for Goals</t>
        </is>
      </c>
      <c r="B27" s="155" t="inlineStr">
        <is>
          <t>CSR network, diaspora, international grants, tech platform.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158" t="inlineStr">
        <is>
          <t>★★</t>
        </is>
      </c>
    </row>
  </sheetData>
  <mergeCells count="24">
    <mergeCell ref="I14:L14"/>
    <mergeCell ref="I17:L17"/>
    <mergeCell ref="I8:L8"/>
    <mergeCell ref="I10:L10"/>
    <mergeCell ref="B24:K24"/>
    <mergeCell ref="I13:L13"/>
    <mergeCell ref="A2:L2"/>
    <mergeCell ref="I9:L9"/>
    <mergeCell ref="B26:K26"/>
    <mergeCell ref="B25:K25"/>
    <mergeCell ref="I15:L15"/>
    <mergeCell ref="I11:L11"/>
    <mergeCell ref="A4:L4"/>
    <mergeCell ref="B22:K22"/>
    <mergeCell ref="A19:L19"/>
    <mergeCell ref="B27:K27"/>
    <mergeCell ref="B21:K21"/>
    <mergeCell ref="I16:L16"/>
    <mergeCell ref="C20:L20"/>
    <mergeCell ref="I7:L7"/>
    <mergeCell ref="B23:K23"/>
    <mergeCell ref="A1:L1"/>
    <mergeCell ref="I12:L12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2026-03-17T03:19:48Z</dcterms:created>
  <dcterms:modified xmlns:dcterms="http://purl.org/dc/terms/" xmlns:xsi="http://www.w3.org/2001/XMLSchema-instance" xsi:type="dcterms:W3CDTF">2026-03-17T03:19:49Z</dcterms:modified>
</cp:coreProperties>
</file>